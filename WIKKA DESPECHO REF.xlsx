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ea5bf1638c6429/Documentos/"/>
    </mc:Choice>
  </mc:AlternateContent>
  <xr:revisionPtr revIDLastSave="1262" documentId="8_{B38E4F17-5CD8-42F6-B1AB-6AD04B1E7A02}" xr6:coauthVersionLast="47" xr6:coauthVersionMax="47" xr10:uidLastSave="{E3380523-0FF5-4CC1-9C80-9CB35D88B422}"/>
  <bookViews>
    <workbookView xWindow="-120" yWindow="-120" windowWidth="20730" windowHeight="11040" tabRatio="771" firstSheet="5" activeTab="7" xr2:uid="{BA766015-3321-4BA4-B915-6B4092DED8D3}"/>
  </bookViews>
  <sheets>
    <sheet name="MACHOTE" sheetId="6" r:id="rId1"/>
    <sheet name="VENTAS 2-3-4-5JULIO26" sheetId="12" r:id="rId2"/>
    <sheet name="GASTOS 2-3-4-5JULIO26" sheetId="11" r:id="rId3"/>
    <sheet name="NOMINA 2-3-4-5JULIO26" sheetId="10" r:id="rId4"/>
    <sheet name="VENTAS 9-11JUL26" sheetId="5" r:id="rId5"/>
    <sheet name="GASTOS 9-11JUL26" sheetId="4" r:id="rId6"/>
    <sheet name="NOMINA 9-11JUL26" sheetId="7" r:id="rId7"/>
    <sheet name="VENTAS 16-18JUL26" sheetId="1" r:id="rId8"/>
    <sheet name="GASTOS 16-18JUL26" sheetId="2" r:id="rId9"/>
    <sheet name="NOMINA 16-18JUL26" sheetId="3" r:id="rId10"/>
    <sheet name="VENTAS 23-25JUL2026" sheetId="9" r:id="rId11"/>
  </sheets>
  <definedNames>
    <definedName name="_xlnm._FilterDatabase" localSheetId="0" hidden="1">MACHOTE!$A$4:$AQ$4</definedName>
    <definedName name="_xlnm._FilterDatabase" localSheetId="7" hidden="1">'VENTAS 16-18JUL26'!$A$4:$AQ$25</definedName>
    <definedName name="_xlnm._FilterDatabase" localSheetId="4" hidden="1">'VENTAS 9-11JUL26'!$A$3:$AQ$109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5" l="1"/>
  <c r="AL21" i="5"/>
  <c r="AM21" i="5" s="1"/>
  <c r="G21" i="5"/>
  <c r="H21" i="5" s="1"/>
  <c r="F21" i="5"/>
  <c r="AL37" i="5"/>
  <c r="AM37" i="5" s="1"/>
  <c r="G37" i="5"/>
  <c r="H37" i="5" s="1"/>
  <c r="F37" i="5"/>
  <c r="AL36" i="5"/>
  <c r="AM36" i="5" s="1"/>
  <c r="G36" i="5"/>
  <c r="H36" i="5" s="1"/>
  <c r="F36" i="5"/>
  <c r="AL35" i="5"/>
  <c r="AM35" i="5" s="1"/>
  <c r="G35" i="5"/>
  <c r="H35" i="5" s="1"/>
  <c r="F35" i="5"/>
  <c r="AL34" i="5"/>
  <c r="AM34" i="5" s="1"/>
  <c r="G34" i="5"/>
  <c r="H34" i="5" s="1"/>
  <c r="F34" i="5"/>
  <c r="AL33" i="5"/>
  <c r="AM33" i="5" s="1"/>
  <c r="G33" i="5"/>
  <c r="H33" i="5" s="1"/>
  <c r="F33" i="5"/>
  <c r="AL32" i="5"/>
  <c r="AM32" i="5" s="1"/>
  <c r="G32" i="5"/>
  <c r="H32" i="5" s="1"/>
  <c r="F32" i="5"/>
  <c r="AL31" i="5"/>
  <c r="AM31" i="5" s="1"/>
  <c r="G31" i="5"/>
  <c r="H31" i="5" s="1"/>
  <c r="F31" i="5"/>
  <c r="AL30" i="5"/>
  <c r="AM30" i="5" s="1"/>
  <c r="G30" i="5"/>
  <c r="H30" i="5" s="1"/>
  <c r="F30" i="5"/>
  <c r="AL29" i="5"/>
  <c r="AM29" i="5" s="1"/>
  <c r="G29" i="5"/>
  <c r="H29" i="5" s="1"/>
  <c r="F29" i="5"/>
  <c r="AL28" i="5"/>
  <c r="AM28" i="5" s="1"/>
  <c r="G28" i="5"/>
  <c r="H28" i="5" s="1"/>
  <c r="F28" i="5"/>
  <c r="AL27" i="5"/>
  <c r="AM27" i="5" s="1"/>
  <c r="G27" i="5"/>
  <c r="H27" i="5" s="1"/>
  <c r="F27" i="5"/>
  <c r="AL26" i="5"/>
  <c r="AM26" i="5" s="1"/>
  <c r="G26" i="5"/>
  <c r="H26" i="5" s="1"/>
  <c r="F26" i="5"/>
  <c r="AL25" i="5"/>
  <c r="AM25" i="5" s="1"/>
  <c r="G25" i="5"/>
  <c r="H25" i="5" s="1"/>
  <c r="F25" i="5"/>
  <c r="AL24" i="5"/>
  <c r="AM24" i="5" s="1"/>
  <c r="G24" i="5"/>
  <c r="H24" i="5" s="1"/>
  <c r="F24" i="5"/>
  <c r="AL23" i="5"/>
  <c r="AM23" i="5" s="1"/>
  <c r="G23" i="5"/>
  <c r="H23" i="5" s="1"/>
  <c r="F23" i="5"/>
  <c r="AL22" i="5"/>
  <c r="AM22" i="5" s="1"/>
  <c r="G22" i="5"/>
  <c r="H22" i="5" s="1"/>
  <c r="F22" i="5"/>
  <c r="AL20" i="5"/>
  <c r="AM20" i="5" s="1"/>
  <c r="G20" i="5"/>
  <c r="H20" i="5" s="1"/>
  <c r="F20" i="5"/>
  <c r="AL19" i="5"/>
  <c r="AM19" i="5" s="1"/>
  <c r="G19" i="5"/>
  <c r="H19" i="5" s="1"/>
  <c r="F19" i="5"/>
  <c r="AL18" i="5"/>
  <c r="AM18" i="5" s="1"/>
  <c r="G18" i="5"/>
  <c r="H18" i="5" s="1"/>
  <c r="F18" i="5"/>
  <c r="AL17" i="5"/>
  <c r="AM17" i="5" s="1"/>
  <c r="G17" i="5"/>
  <c r="H17" i="5" s="1"/>
  <c r="F17" i="5"/>
  <c r="AL16" i="5"/>
  <c r="AM16" i="5" s="1"/>
  <c r="G16" i="5"/>
  <c r="H16" i="5" s="1"/>
  <c r="F16" i="5"/>
  <c r="AM138" i="12"/>
  <c r="AL138" i="12"/>
  <c r="AK138" i="12"/>
  <c r="AG138" i="12"/>
  <c r="AC138" i="12"/>
  <c r="Y138" i="12"/>
  <c r="U138" i="12"/>
  <c r="Q138" i="12"/>
  <c r="M138" i="12"/>
  <c r="I138" i="12"/>
  <c r="F138" i="12"/>
  <c r="E138" i="12"/>
  <c r="D138" i="12"/>
  <c r="AL126" i="12"/>
  <c r="AM126" i="12" s="1"/>
  <c r="G126" i="12"/>
  <c r="H126" i="12" s="1"/>
  <c r="F126" i="12"/>
  <c r="AL125" i="12"/>
  <c r="AM125" i="12" s="1"/>
  <c r="G125" i="12"/>
  <c r="H125" i="12" s="1"/>
  <c r="F125" i="12"/>
  <c r="AL124" i="12"/>
  <c r="AM124" i="12" s="1"/>
  <c r="G124" i="12"/>
  <c r="H124" i="12" s="1"/>
  <c r="F124" i="12"/>
  <c r="AL123" i="12"/>
  <c r="AM123" i="12" s="1"/>
  <c r="G123" i="12"/>
  <c r="H123" i="12" s="1"/>
  <c r="F123" i="12"/>
  <c r="AL122" i="12"/>
  <c r="AM122" i="12" s="1"/>
  <c r="G122" i="12"/>
  <c r="H122" i="12" s="1"/>
  <c r="F122" i="12"/>
  <c r="AM121" i="12"/>
  <c r="G121" i="12"/>
  <c r="H121" i="12" s="1"/>
  <c r="F121" i="12"/>
  <c r="AL120" i="12"/>
  <c r="AM120" i="12" s="1"/>
  <c r="G120" i="12"/>
  <c r="H120" i="12" s="1"/>
  <c r="F120" i="12"/>
  <c r="AL119" i="12"/>
  <c r="AM119" i="12" s="1"/>
  <c r="G119" i="12"/>
  <c r="H119" i="12" s="1"/>
  <c r="F119" i="12"/>
  <c r="AL118" i="12"/>
  <c r="AM118" i="12" s="1"/>
  <c r="G118" i="12"/>
  <c r="H118" i="12" s="1"/>
  <c r="F118" i="12"/>
  <c r="AM117" i="12"/>
  <c r="G117" i="12"/>
  <c r="H117" i="12" s="1"/>
  <c r="F117" i="12"/>
  <c r="AL127" i="12"/>
  <c r="AM127" i="12" s="1"/>
  <c r="G127" i="12"/>
  <c r="H127" i="12" s="1"/>
  <c r="F127" i="12"/>
  <c r="AL137" i="12"/>
  <c r="AM137" i="12" s="1"/>
  <c r="G137" i="12"/>
  <c r="H137" i="12" s="1"/>
  <c r="F137" i="12"/>
  <c r="AL136" i="12"/>
  <c r="AM136" i="12" s="1"/>
  <c r="G136" i="12"/>
  <c r="H136" i="12" s="1"/>
  <c r="F136" i="12"/>
  <c r="AL135" i="12"/>
  <c r="AM135" i="12" s="1"/>
  <c r="G135" i="12"/>
  <c r="H135" i="12" s="1"/>
  <c r="F135" i="12"/>
  <c r="AL134" i="12"/>
  <c r="AM134" i="12" s="1"/>
  <c r="G134" i="12"/>
  <c r="H134" i="12" s="1"/>
  <c r="F134" i="12"/>
  <c r="AL133" i="12"/>
  <c r="AM133" i="12" s="1"/>
  <c r="G133" i="12"/>
  <c r="H133" i="12" s="1"/>
  <c r="F133" i="12"/>
  <c r="AL132" i="12"/>
  <c r="AM132" i="12" s="1"/>
  <c r="G132" i="12"/>
  <c r="H132" i="12" s="1"/>
  <c r="F132" i="12"/>
  <c r="AL131" i="12"/>
  <c r="AM131" i="12" s="1"/>
  <c r="G131" i="12"/>
  <c r="H131" i="12" s="1"/>
  <c r="F131" i="12"/>
  <c r="AL130" i="12"/>
  <c r="AM130" i="12" s="1"/>
  <c r="G130" i="12"/>
  <c r="H130" i="12" s="1"/>
  <c r="F130" i="12"/>
  <c r="AL129" i="12"/>
  <c r="AM129" i="12" s="1"/>
  <c r="G129" i="12"/>
  <c r="H129" i="12" s="1"/>
  <c r="F129" i="12"/>
  <c r="AL128" i="12"/>
  <c r="AM128" i="12" s="1"/>
  <c r="G128" i="12"/>
  <c r="H128" i="12" s="1"/>
  <c r="F128" i="12"/>
  <c r="AL116" i="12"/>
  <c r="AM116" i="12" s="1"/>
  <c r="G116" i="12"/>
  <c r="H116" i="12" s="1"/>
  <c r="F116" i="12"/>
  <c r="AL115" i="12"/>
  <c r="AM115" i="12" s="1"/>
  <c r="G115" i="12"/>
  <c r="H115" i="12" s="1"/>
  <c r="F115" i="12"/>
  <c r="AL114" i="12"/>
  <c r="AM114" i="12" s="1"/>
  <c r="G114" i="12"/>
  <c r="H114" i="12" s="1"/>
  <c r="F114" i="12"/>
  <c r="AL113" i="12"/>
  <c r="AM113" i="12" s="1"/>
  <c r="G113" i="12"/>
  <c r="H113" i="12" s="1"/>
  <c r="F113" i="12"/>
  <c r="AL112" i="12"/>
  <c r="AM112" i="12" s="1"/>
  <c r="G112" i="12"/>
  <c r="H112" i="12" s="1"/>
  <c r="F112" i="12"/>
  <c r="AL111" i="12"/>
  <c r="AM111" i="12" s="1"/>
  <c r="G111" i="12"/>
  <c r="H111" i="12" s="1"/>
  <c r="F111" i="12"/>
  <c r="AL110" i="12"/>
  <c r="AM110" i="12" s="1"/>
  <c r="G110" i="12"/>
  <c r="H110" i="12" s="1"/>
  <c r="F110" i="12"/>
  <c r="AL109" i="12"/>
  <c r="G109" i="12"/>
  <c r="H109" i="12" s="1"/>
  <c r="F109" i="12"/>
  <c r="AK108" i="12"/>
  <c r="AG108" i="12"/>
  <c r="AC108" i="12"/>
  <c r="Y108" i="12"/>
  <c r="U108" i="12"/>
  <c r="Q108" i="12"/>
  <c r="M108" i="12"/>
  <c r="G106" i="12"/>
  <c r="H106" i="12"/>
  <c r="G105" i="12"/>
  <c r="H105" i="12" s="1"/>
  <c r="G104" i="12"/>
  <c r="H104" i="12"/>
  <c r="G103" i="12"/>
  <c r="H103" i="12"/>
  <c r="G102" i="12"/>
  <c r="H102" i="12" s="1"/>
  <c r="G101" i="12"/>
  <c r="H101" i="12" s="1"/>
  <c r="AL105" i="12"/>
  <c r="AM105" i="12" s="1"/>
  <c r="AL104" i="12"/>
  <c r="AM104" i="12" s="1"/>
  <c r="AL103" i="12"/>
  <c r="AM103" i="12" s="1"/>
  <c r="AL102" i="12"/>
  <c r="AM102" i="12" s="1"/>
  <c r="AL101" i="12"/>
  <c r="AM101" i="12" s="1"/>
  <c r="F104" i="12"/>
  <c r="F103" i="12"/>
  <c r="F102" i="12"/>
  <c r="F101" i="12"/>
  <c r="G100" i="12"/>
  <c r="H100" i="12"/>
  <c r="G99" i="12"/>
  <c r="H99" i="12"/>
  <c r="G98" i="12"/>
  <c r="H98" i="12"/>
  <c r="G97" i="12"/>
  <c r="H97" i="12"/>
  <c r="G96" i="12"/>
  <c r="H96" i="12"/>
  <c r="G95" i="12"/>
  <c r="H95" i="12" s="1"/>
  <c r="G94" i="12"/>
  <c r="H94" i="12"/>
  <c r="G93" i="12"/>
  <c r="H93" i="12"/>
  <c r="G92" i="12"/>
  <c r="H92" i="12"/>
  <c r="AL59" i="12"/>
  <c r="AM59" i="12" s="1"/>
  <c r="F59" i="12"/>
  <c r="G91" i="12"/>
  <c r="H91" i="12" s="1"/>
  <c r="G90" i="12"/>
  <c r="H90" i="12" s="1"/>
  <c r="AL107" i="12"/>
  <c r="AM107" i="12" s="1"/>
  <c r="AL106" i="12"/>
  <c r="AM106" i="12" s="1"/>
  <c r="AL100" i="12"/>
  <c r="AM100" i="12" s="1"/>
  <c r="AL99" i="12"/>
  <c r="AM99" i="12" s="1"/>
  <c r="AL98" i="12"/>
  <c r="AM98" i="12" s="1"/>
  <c r="AL97" i="12"/>
  <c r="AM97" i="12" s="1"/>
  <c r="AL96" i="12"/>
  <c r="AM96" i="12" s="1"/>
  <c r="AL95" i="12"/>
  <c r="AM95" i="12" s="1"/>
  <c r="AL94" i="12"/>
  <c r="AM94" i="12" s="1"/>
  <c r="AL93" i="12"/>
  <c r="AM93" i="12" s="1"/>
  <c r="AL92" i="12"/>
  <c r="AM92" i="12" s="1"/>
  <c r="AL91" i="12"/>
  <c r="AM91" i="12" s="1"/>
  <c r="AL90" i="12"/>
  <c r="AM90" i="12" s="1"/>
  <c r="F107" i="12"/>
  <c r="F106" i="12"/>
  <c r="F105" i="12"/>
  <c r="F100" i="12"/>
  <c r="F99" i="12"/>
  <c r="F98" i="12"/>
  <c r="F97" i="12"/>
  <c r="F96" i="12"/>
  <c r="F95" i="12"/>
  <c r="F94" i="12"/>
  <c r="F93" i="12"/>
  <c r="F92" i="12"/>
  <c r="F91" i="12"/>
  <c r="F90" i="12"/>
  <c r="F85" i="12"/>
  <c r="AK55" i="12"/>
  <c r="AG55" i="12"/>
  <c r="AC55" i="12"/>
  <c r="Y55" i="12"/>
  <c r="U55" i="12"/>
  <c r="Q55" i="12"/>
  <c r="M55" i="12"/>
  <c r="I55" i="12"/>
  <c r="E55" i="12"/>
  <c r="D55" i="12"/>
  <c r="G53" i="12"/>
  <c r="H53" i="12" s="1"/>
  <c r="G52" i="12"/>
  <c r="H52" i="12" s="1"/>
  <c r="G51" i="12"/>
  <c r="H51" i="12"/>
  <c r="G50" i="12"/>
  <c r="H50" i="12" s="1"/>
  <c r="G48" i="12"/>
  <c r="H48" i="12" s="1"/>
  <c r="G44" i="12"/>
  <c r="H44" i="12" s="1"/>
  <c r="G41" i="12"/>
  <c r="H41" i="12" s="1"/>
  <c r="G38" i="12"/>
  <c r="H38" i="12"/>
  <c r="AL25" i="12"/>
  <c r="AM25" i="12" s="1"/>
  <c r="F25" i="12"/>
  <c r="AK24" i="12"/>
  <c r="I108" i="12"/>
  <c r="E108" i="12"/>
  <c r="D108" i="12"/>
  <c r="G107" i="12"/>
  <c r="H107" i="12" s="1"/>
  <c r="AL89" i="12"/>
  <c r="AM89" i="12" s="1"/>
  <c r="G89" i="12"/>
  <c r="H89" i="12" s="1"/>
  <c r="F89" i="12"/>
  <c r="AL88" i="12"/>
  <c r="AM88" i="12" s="1"/>
  <c r="G88" i="12"/>
  <c r="H88" i="12" s="1"/>
  <c r="F88" i="12"/>
  <c r="AL87" i="12"/>
  <c r="AM87" i="12" s="1"/>
  <c r="G87" i="12"/>
  <c r="H87" i="12" s="1"/>
  <c r="F87" i="12"/>
  <c r="AL86" i="12"/>
  <c r="AM86" i="12" s="1"/>
  <c r="G86" i="12"/>
  <c r="H86" i="12" s="1"/>
  <c r="F86" i="12"/>
  <c r="AL85" i="12"/>
  <c r="AM85" i="12" s="1"/>
  <c r="G85" i="12"/>
  <c r="H85" i="12" s="1"/>
  <c r="AL84" i="12"/>
  <c r="AM84" i="12" s="1"/>
  <c r="G84" i="12"/>
  <c r="F84" i="12"/>
  <c r="AL83" i="12"/>
  <c r="G83" i="12"/>
  <c r="H83" i="12" s="1"/>
  <c r="F83" i="12"/>
  <c r="AL82" i="12"/>
  <c r="AM82" i="12" s="1"/>
  <c r="G82" i="12"/>
  <c r="H82" i="12" s="1"/>
  <c r="F82" i="12"/>
  <c r="AL81" i="12"/>
  <c r="AM81" i="12" s="1"/>
  <c r="G81" i="12"/>
  <c r="H81" i="12" s="1"/>
  <c r="F81" i="12"/>
  <c r="AL80" i="12"/>
  <c r="AM80" i="12" s="1"/>
  <c r="G80" i="12"/>
  <c r="H80" i="12" s="1"/>
  <c r="F80" i="12"/>
  <c r="AL79" i="12"/>
  <c r="AM79" i="12" s="1"/>
  <c r="G79" i="12"/>
  <c r="H79" i="12" s="1"/>
  <c r="F79" i="12"/>
  <c r="AL78" i="12"/>
  <c r="AM78" i="12" s="1"/>
  <c r="G78" i="12"/>
  <c r="H78" i="12" s="1"/>
  <c r="F78" i="12"/>
  <c r="AL77" i="12"/>
  <c r="AM77" i="12" s="1"/>
  <c r="G77" i="12"/>
  <c r="H77" i="12" s="1"/>
  <c r="F77" i="12"/>
  <c r="AL76" i="12"/>
  <c r="AM76" i="12" s="1"/>
  <c r="G76" i="12"/>
  <c r="H76" i="12" s="1"/>
  <c r="F76" i="12"/>
  <c r="AL75" i="12"/>
  <c r="AM75" i="12" s="1"/>
  <c r="G75" i="12"/>
  <c r="H75" i="12" s="1"/>
  <c r="F75" i="12"/>
  <c r="AL74" i="12"/>
  <c r="AM74" i="12" s="1"/>
  <c r="G74" i="12"/>
  <c r="H74" i="12" s="1"/>
  <c r="F74" i="12"/>
  <c r="AL73" i="12"/>
  <c r="AM73" i="12" s="1"/>
  <c r="G73" i="12"/>
  <c r="H73" i="12" s="1"/>
  <c r="F73" i="12"/>
  <c r="AL72" i="12"/>
  <c r="AM72" i="12" s="1"/>
  <c r="G72" i="12"/>
  <c r="H72" i="12" s="1"/>
  <c r="F72" i="12"/>
  <c r="AL71" i="12"/>
  <c r="AM71" i="12" s="1"/>
  <c r="G71" i="12"/>
  <c r="H71" i="12" s="1"/>
  <c r="F71" i="12"/>
  <c r="AL70" i="12"/>
  <c r="AM70" i="12" s="1"/>
  <c r="G70" i="12"/>
  <c r="H70" i="12" s="1"/>
  <c r="F70" i="12"/>
  <c r="AL69" i="12"/>
  <c r="AM69" i="12" s="1"/>
  <c r="G69" i="12"/>
  <c r="H69" i="12" s="1"/>
  <c r="F69" i="12"/>
  <c r="AL68" i="12"/>
  <c r="AM68" i="12" s="1"/>
  <c r="G68" i="12"/>
  <c r="H68" i="12" s="1"/>
  <c r="F68" i="12"/>
  <c r="AL67" i="12"/>
  <c r="AM67" i="12" s="1"/>
  <c r="G67" i="12"/>
  <c r="H67" i="12" s="1"/>
  <c r="F67" i="12"/>
  <c r="AL66" i="12"/>
  <c r="AM66" i="12" s="1"/>
  <c r="G66" i="12"/>
  <c r="H66" i="12" s="1"/>
  <c r="F66" i="12"/>
  <c r="AL65" i="12"/>
  <c r="AM65" i="12" s="1"/>
  <c r="G65" i="12"/>
  <c r="H65" i="12" s="1"/>
  <c r="F65" i="12"/>
  <c r="AL64" i="12"/>
  <c r="AM64" i="12" s="1"/>
  <c r="G64" i="12"/>
  <c r="H64" i="12" s="1"/>
  <c r="F64" i="12"/>
  <c r="AL63" i="12"/>
  <c r="AM63" i="12" s="1"/>
  <c r="G63" i="12"/>
  <c r="H63" i="12" s="1"/>
  <c r="F63" i="12"/>
  <c r="AL62" i="12"/>
  <c r="AM62" i="12" s="1"/>
  <c r="G62" i="12"/>
  <c r="H62" i="12" s="1"/>
  <c r="F62" i="12"/>
  <c r="AL61" i="12"/>
  <c r="AM61" i="12" s="1"/>
  <c r="G61" i="12"/>
  <c r="H61" i="12" s="1"/>
  <c r="F61" i="12"/>
  <c r="AL60" i="12"/>
  <c r="AM60" i="12" s="1"/>
  <c r="G60" i="12"/>
  <c r="H60" i="12" s="1"/>
  <c r="F60" i="12"/>
  <c r="AL58" i="12"/>
  <c r="AM58" i="12" s="1"/>
  <c r="G58" i="12"/>
  <c r="H58" i="12" s="1"/>
  <c r="F58" i="12"/>
  <c r="AM57" i="12"/>
  <c r="G57" i="12"/>
  <c r="H57" i="12" s="1"/>
  <c r="F57" i="12"/>
  <c r="AL56" i="12"/>
  <c r="G56" i="12"/>
  <c r="F56" i="12"/>
  <c r="AJ55" i="12"/>
  <c r="AL54" i="12"/>
  <c r="AM54" i="12" s="1"/>
  <c r="F54" i="12"/>
  <c r="AL53" i="12"/>
  <c r="AM53" i="12" s="1"/>
  <c r="F53" i="12"/>
  <c r="AL52" i="12"/>
  <c r="AM52" i="12" s="1"/>
  <c r="F52" i="12"/>
  <c r="AL51" i="12"/>
  <c r="AM51" i="12" s="1"/>
  <c r="F51" i="12"/>
  <c r="AL50" i="12"/>
  <c r="AM50" i="12" s="1"/>
  <c r="F50" i="12"/>
  <c r="AL49" i="12"/>
  <c r="AM49" i="12" s="1"/>
  <c r="G49" i="12"/>
  <c r="H49" i="12" s="1"/>
  <c r="F49" i="12"/>
  <c r="AL48" i="12"/>
  <c r="AM48" i="12" s="1"/>
  <c r="F48" i="12"/>
  <c r="AL47" i="12"/>
  <c r="AM47" i="12" s="1"/>
  <c r="G47" i="12"/>
  <c r="H47" i="12" s="1"/>
  <c r="F47" i="12"/>
  <c r="AL46" i="12"/>
  <c r="AM46" i="12" s="1"/>
  <c r="G46" i="12"/>
  <c r="H46" i="12" s="1"/>
  <c r="F46" i="12"/>
  <c r="AL45" i="12"/>
  <c r="AM45" i="12" s="1"/>
  <c r="G45" i="12"/>
  <c r="H45" i="12" s="1"/>
  <c r="F45" i="12"/>
  <c r="AL44" i="12"/>
  <c r="AM44" i="12" s="1"/>
  <c r="F44" i="12"/>
  <c r="AL43" i="12"/>
  <c r="AM43" i="12" s="1"/>
  <c r="G43" i="12"/>
  <c r="H43" i="12" s="1"/>
  <c r="F43" i="12"/>
  <c r="AL42" i="12"/>
  <c r="AM42" i="12" s="1"/>
  <c r="G42" i="12"/>
  <c r="H42" i="12" s="1"/>
  <c r="F42" i="12"/>
  <c r="AL41" i="12"/>
  <c r="AM41" i="12" s="1"/>
  <c r="F41" i="12"/>
  <c r="AL40" i="12"/>
  <c r="AM40" i="12" s="1"/>
  <c r="G40" i="12"/>
  <c r="H40" i="12" s="1"/>
  <c r="F40" i="12"/>
  <c r="AL39" i="12"/>
  <c r="AM39" i="12" s="1"/>
  <c r="G39" i="12"/>
  <c r="H39" i="12" s="1"/>
  <c r="F39" i="12"/>
  <c r="AL38" i="12"/>
  <c r="AM38" i="12" s="1"/>
  <c r="F38" i="12"/>
  <c r="AL37" i="12"/>
  <c r="AM37" i="12" s="1"/>
  <c r="G37" i="12"/>
  <c r="H37" i="12" s="1"/>
  <c r="F37" i="12"/>
  <c r="AL36" i="12"/>
  <c r="AM36" i="12" s="1"/>
  <c r="G36" i="12"/>
  <c r="H36" i="12" s="1"/>
  <c r="F36" i="12"/>
  <c r="AL35" i="12"/>
  <c r="AM35" i="12" s="1"/>
  <c r="G35" i="12"/>
  <c r="H35" i="12" s="1"/>
  <c r="F35" i="12"/>
  <c r="AL34" i="12"/>
  <c r="G34" i="12"/>
  <c r="H34" i="12" s="1"/>
  <c r="F34" i="12"/>
  <c r="AL33" i="12"/>
  <c r="AM33" i="12" s="1"/>
  <c r="G33" i="12"/>
  <c r="H33" i="12" s="1"/>
  <c r="F33" i="12"/>
  <c r="AL32" i="12"/>
  <c r="AM32" i="12" s="1"/>
  <c r="F32" i="12"/>
  <c r="AL31" i="12"/>
  <c r="AM31" i="12" s="1"/>
  <c r="F31" i="12"/>
  <c r="AL30" i="12"/>
  <c r="AM30" i="12" s="1"/>
  <c r="G30" i="12"/>
  <c r="H30" i="12" s="1"/>
  <c r="F30" i="12"/>
  <c r="AL29" i="12"/>
  <c r="AM29" i="12" s="1"/>
  <c r="G29" i="12"/>
  <c r="H29" i="12" s="1"/>
  <c r="F29" i="12"/>
  <c r="AL28" i="12"/>
  <c r="AM28" i="12" s="1"/>
  <c r="F28" i="12"/>
  <c r="AL27" i="12"/>
  <c r="G27" i="12"/>
  <c r="H27" i="12" s="1"/>
  <c r="F27" i="12"/>
  <c r="AL26" i="12"/>
  <c r="AM26" i="12" s="1"/>
  <c r="F26" i="12"/>
  <c r="AG24" i="12"/>
  <c r="AC24" i="12"/>
  <c r="Y24" i="12"/>
  <c r="U24" i="12"/>
  <c r="Q24" i="12"/>
  <c r="M24" i="12"/>
  <c r="I24" i="12"/>
  <c r="E24" i="12"/>
  <c r="D24" i="12"/>
  <c r="AL23" i="12"/>
  <c r="AM23" i="12" s="1"/>
  <c r="G23" i="12"/>
  <c r="H23" i="12" s="1"/>
  <c r="F23" i="12"/>
  <c r="AL22" i="12"/>
  <c r="AM22" i="12" s="1"/>
  <c r="G22" i="12"/>
  <c r="H22" i="12" s="1"/>
  <c r="F22" i="12"/>
  <c r="AL21" i="12"/>
  <c r="AM21" i="12" s="1"/>
  <c r="G21" i="12"/>
  <c r="H21" i="12" s="1"/>
  <c r="F21" i="12"/>
  <c r="AL20" i="12"/>
  <c r="AM20" i="12" s="1"/>
  <c r="F20" i="12"/>
  <c r="AL19" i="12"/>
  <c r="AM19" i="12" s="1"/>
  <c r="F19" i="12"/>
  <c r="AL18" i="12"/>
  <c r="AM18" i="12" s="1"/>
  <c r="G18" i="12"/>
  <c r="H18" i="12" s="1"/>
  <c r="F18" i="12"/>
  <c r="AL17" i="12"/>
  <c r="AM17" i="12" s="1"/>
  <c r="F17" i="12"/>
  <c r="AL16" i="12"/>
  <c r="AM16" i="12" s="1"/>
  <c r="G16" i="12"/>
  <c r="H16" i="12" s="1"/>
  <c r="F16" i="12"/>
  <c r="AL15" i="12"/>
  <c r="AM15" i="12" s="1"/>
  <c r="G15" i="12"/>
  <c r="H15" i="12" s="1"/>
  <c r="F15" i="12"/>
  <c r="AL14" i="12"/>
  <c r="AM14" i="12" s="1"/>
  <c r="F14" i="12"/>
  <c r="AL13" i="12"/>
  <c r="AM13" i="12" s="1"/>
  <c r="G13" i="12"/>
  <c r="H13" i="12" s="1"/>
  <c r="F13" i="12"/>
  <c r="AL12" i="12"/>
  <c r="AM12" i="12" s="1"/>
  <c r="F12" i="12"/>
  <c r="AL11" i="12"/>
  <c r="AM11" i="12" s="1"/>
  <c r="F11" i="12"/>
  <c r="AL10" i="12"/>
  <c r="AM10" i="12" s="1"/>
  <c r="F10" i="12"/>
  <c r="AL9" i="12"/>
  <c r="AM9" i="12" s="1"/>
  <c r="F9" i="12"/>
  <c r="AL8" i="12"/>
  <c r="AM8" i="12" s="1"/>
  <c r="G8" i="12"/>
  <c r="H8" i="12" s="1"/>
  <c r="F8" i="12"/>
  <c r="AL7" i="12"/>
  <c r="AM7" i="12" s="1"/>
  <c r="G7" i="12"/>
  <c r="H7" i="12" s="1"/>
  <c r="F7" i="12"/>
  <c r="AL6" i="12"/>
  <c r="AM6" i="12" s="1"/>
  <c r="F6" i="12"/>
  <c r="AL5" i="12"/>
  <c r="G5" i="12"/>
  <c r="H5" i="12" s="1"/>
  <c r="F5" i="12"/>
  <c r="AK96" i="9"/>
  <c r="AG96" i="9"/>
  <c r="AC96" i="9"/>
  <c r="Y96" i="9"/>
  <c r="U96" i="9"/>
  <c r="Q96" i="9"/>
  <c r="M96" i="9"/>
  <c r="I96" i="9"/>
  <c r="E96" i="9"/>
  <c r="D96" i="9"/>
  <c r="AL95" i="9"/>
  <c r="AM95" i="9" s="1"/>
  <c r="G95" i="9"/>
  <c r="H95" i="9" s="1"/>
  <c r="F95" i="9"/>
  <c r="AL94" i="9"/>
  <c r="AM94" i="9" s="1"/>
  <c r="G94" i="9"/>
  <c r="H94" i="9" s="1"/>
  <c r="F94" i="9"/>
  <c r="AL93" i="9"/>
  <c r="AM93" i="9" s="1"/>
  <c r="G93" i="9"/>
  <c r="H93" i="9" s="1"/>
  <c r="F93" i="9"/>
  <c r="AL92" i="9"/>
  <c r="AM92" i="9" s="1"/>
  <c r="G92" i="9"/>
  <c r="H92" i="9" s="1"/>
  <c r="F92" i="9"/>
  <c r="AL91" i="9"/>
  <c r="AM91" i="9" s="1"/>
  <c r="G91" i="9"/>
  <c r="H91" i="9" s="1"/>
  <c r="F91" i="9"/>
  <c r="AL90" i="9"/>
  <c r="AM90" i="9" s="1"/>
  <c r="G90" i="9"/>
  <c r="H90" i="9" s="1"/>
  <c r="F90" i="9"/>
  <c r="AL89" i="9"/>
  <c r="AM89" i="9" s="1"/>
  <c r="G89" i="9"/>
  <c r="H89" i="9" s="1"/>
  <c r="F89" i="9"/>
  <c r="AL88" i="9"/>
  <c r="AM88" i="9" s="1"/>
  <c r="G88" i="9"/>
  <c r="H88" i="9" s="1"/>
  <c r="F88" i="9"/>
  <c r="AL87" i="9"/>
  <c r="AM87" i="9" s="1"/>
  <c r="G87" i="9"/>
  <c r="H87" i="9" s="1"/>
  <c r="F87" i="9"/>
  <c r="AL86" i="9"/>
  <c r="AM86" i="9" s="1"/>
  <c r="G86" i="9"/>
  <c r="H86" i="9" s="1"/>
  <c r="F86" i="9"/>
  <c r="AL85" i="9"/>
  <c r="AM85" i="9" s="1"/>
  <c r="G85" i="9"/>
  <c r="H85" i="9" s="1"/>
  <c r="F85" i="9"/>
  <c r="AL84" i="9"/>
  <c r="AM84" i="9" s="1"/>
  <c r="G84" i="9"/>
  <c r="H84" i="9" s="1"/>
  <c r="F84" i="9"/>
  <c r="AL83" i="9"/>
  <c r="AM83" i="9" s="1"/>
  <c r="G83" i="9"/>
  <c r="H83" i="9" s="1"/>
  <c r="F83" i="9"/>
  <c r="AL82" i="9"/>
  <c r="AM82" i="9" s="1"/>
  <c r="G82" i="9"/>
  <c r="H82" i="9" s="1"/>
  <c r="F82" i="9"/>
  <c r="AL81" i="9"/>
  <c r="AM81" i="9" s="1"/>
  <c r="G81" i="9"/>
  <c r="H81" i="9" s="1"/>
  <c r="F81" i="9"/>
  <c r="AL80" i="9"/>
  <c r="AM80" i="9" s="1"/>
  <c r="G80" i="9"/>
  <c r="H80" i="9" s="1"/>
  <c r="F80" i="9"/>
  <c r="AL79" i="9"/>
  <c r="AM79" i="9" s="1"/>
  <c r="G79" i="9"/>
  <c r="H79" i="9" s="1"/>
  <c r="F79" i="9"/>
  <c r="AL78" i="9"/>
  <c r="AM78" i="9" s="1"/>
  <c r="G78" i="9"/>
  <c r="H78" i="9" s="1"/>
  <c r="F78" i="9"/>
  <c r="AM77" i="9"/>
  <c r="AL77" i="9"/>
  <c r="G77" i="9"/>
  <c r="H77" i="9" s="1"/>
  <c r="F77" i="9"/>
  <c r="AL76" i="9"/>
  <c r="AM76" i="9" s="1"/>
  <c r="G76" i="9"/>
  <c r="H76" i="9" s="1"/>
  <c r="F76" i="9"/>
  <c r="AL75" i="9"/>
  <c r="AM75" i="9" s="1"/>
  <c r="G75" i="9"/>
  <c r="H75" i="9" s="1"/>
  <c r="F75" i="9"/>
  <c r="AL74" i="9"/>
  <c r="AM74" i="9" s="1"/>
  <c r="G74" i="9"/>
  <c r="H74" i="9" s="1"/>
  <c r="F74" i="9"/>
  <c r="AL73" i="9"/>
  <c r="AM73" i="9" s="1"/>
  <c r="G73" i="9"/>
  <c r="H73" i="9" s="1"/>
  <c r="F73" i="9"/>
  <c r="AL72" i="9"/>
  <c r="AM72" i="9" s="1"/>
  <c r="G72" i="9"/>
  <c r="H72" i="9" s="1"/>
  <c r="F72" i="9"/>
  <c r="AL71" i="9"/>
  <c r="AM71" i="9" s="1"/>
  <c r="G71" i="9"/>
  <c r="H71" i="9" s="1"/>
  <c r="F71" i="9"/>
  <c r="AL70" i="9"/>
  <c r="AM70" i="9" s="1"/>
  <c r="G70" i="9"/>
  <c r="H70" i="9" s="1"/>
  <c r="F70" i="9"/>
  <c r="AL69" i="9"/>
  <c r="AM69" i="9" s="1"/>
  <c r="G69" i="9"/>
  <c r="H69" i="9" s="1"/>
  <c r="F69" i="9"/>
  <c r="AL68" i="9"/>
  <c r="AM68" i="9" s="1"/>
  <c r="G68" i="9"/>
  <c r="H68" i="9" s="1"/>
  <c r="F68" i="9"/>
  <c r="AL67" i="9"/>
  <c r="AM67" i="9" s="1"/>
  <c r="G67" i="9"/>
  <c r="H67" i="9" s="1"/>
  <c r="F67" i="9"/>
  <c r="AL66" i="9"/>
  <c r="AM66" i="9" s="1"/>
  <c r="G66" i="9"/>
  <c r="H66" i="9" s="1"/>
  <c r="F66" i="9"/>
  <c r="AL65" i="9"/>
  <c r="AM65" i="9" s="1"/>
  <c r="G65" i="9"/>
  <c r="H65" i="9" s="1"/>
  <c r="F65" i="9"/>
  <c r="AL64" i="9"/>
  <c r="AM64" i="9" s="1"/>
  <c r="G64" i="9"/>
  <c r="H64" i="9" s="1"/>
  <c r="F64" i="9"/>
  <c r="AL63" i="9"/>
  <c r="AM63" i="9" s="1"/>
  <c r="G63" i="9"/>
  <c r="H63" i="9" s="1"/>
  <c r="F63" i="9"/>
  <c r="AL62" i="9"/>
  <c r="G62" i="9"/>
  <c r="F62" i="9"/>
  <c r="F96" i="9" s="1"/>
  <c r="AK61" i="9"/>
  <c r="AJ61" i="9"/>
  <c r="AG61" i="9"/>
  <c r="AC61" i="9"/>
  <c r="Y61" i="9"/>
  <c r="U61" i="9"/>
  <c r="Q61" i="9"/>
  <c r="M61" i="9"/>
  <c r="E61" i="9"/>
  <c r="D61" i="9"/>
  <c r="AL60" i="9"/>
  <c r="AM60" i="9" s="1"/>
  <c r="F60" i="9"/>
  <c r="AL59" i="9"/>
  <c r="AM59" i="9" s="1"/>
  <c r="F59" i="9"/>
  <c r="AL58" i="9"/>
  <c r="AM58" i="9" s="1"/>
  <c r="F58" i="9"/>
  <c r="AL57" i="9"/>
  <c r="AM57" i="9" s="1"/>
  <c r="F57" i="9"/>
  <c r="AL56" i="9"/>
  <c r="AM56" i="9" s="1"/>
  <c r="F56" i="9"/>
  <c r="AL55" i="9"/>
  <c r="AM55" i="9" s="1"/>
  <c r="G55" i="9"/>
  <c r="H55" i="9" s="1"/>
  <c r="F55" i="9"/>
  <c r="AL54" i="9"/>
  <c r="AM54" i="9" s="1"/>
  <c r="G54" i="9"/>
  <c r="H54" i="9" s="1"/>
  <c r="F54" i="9"/>
  <c r="AL53" i="9"/>
  <c r="AM53" i="9" s="1"/>
  <c r="F53" i="9"/>
  <c r="AL52" i="9"/>
  <c r="AM52" i="9" s="1"/>
  <c r="F52" i="9"/>
  <c r="AL51" i="9"/>
  <c r="AM51" i="9" s="1"/>
  <c r="F51" i="9"/>
  <c r="AL50" i="9"/>
  <c r="AM50" i="9" s="1"/>
  <c r="F50" i="9"/>
  <c r="AL49" i="9"/>
  <c r="AM49" i="9" s="1"/>
  <c r="G49" i="9"/>
  <c r="H49" i="9" s="1"/>
  <c r="F49" i="9"/>
  <c r="AL48" i="9"/>
  <c r="AM48" i="9" s="1"/>
  <c r="F48" i="9"/>
  <c r="AL47" i="9"/>
  <c r="AM47" i="9" s="1"/>
  <c r="G47" i="9"/>
  <c r="H47" i="9" s="1"/>
  <c r="F47" i="9"/>
  <c r="AL46" i="9"/>
  <c r="AM46" i="9" s="1"/>
  <c r="G46" i="9"/>
  <c r="H46" i="9" s="1"/>
  <c r="F46" i="9"/>
  <c r="AL45" i="9"/>
  <c r="AM45" i="9" s="1"/>
  <c r="G45" i="9"/>
  <c r="H45" i="9" s="1"/>
  <c r="F45" i="9"/>
  <c r="AL44" i="9"/>
  <c r="AM44" i="9" s="1"/>
  <c r="F44" i="9"/>
  <c r="AL43" i="9"/>
  <c r="AM43" i="9" s="1"/>
  <c r="G43" i="9"/>
  <c r="H43" i="9" s="1"/>
  <c r="F43" i="9"/>
  <c r="AL42" i="9"/>
  <c r="AM42" i="9" s="1"/>
  <c r="G42" i="9"/>
  <c r="H42" i="9" s="1"/>
  <c r="F42" i="9"/>
  <c r="AL41" i="9"/>
  <c r="AM41" i="9" s="1"/>
  <c r="F41" i="9"/>
  <c r="AL40" i="9"/>
  <c r="AM40" i="9" s="1"/>
  <c r="G40" i="9"/>
  <c r="H40" i="9" s="1"/>
  <c r="F40" i="9"/>
  <c r="AL39" i="9"/>
  <c r="AM39" i="9" s="1"/>
  <c r="G39" i="9"/>
  <c r="H39" i="9" s="1"/>
  <c r="F39" i="9"/>
  <c r="AL38" i="9"/>
  <c r="AM38" i="9" s="1"/>
  <c r="F38" i="9"/>
  <c r="AL37" i="9"/>
  <c r="AM37" i="9" s="1"/>
  <c r="G37" i="9"/>
  <c r="H37" i="9" s="1"/>
  <c r="F37" i="9"/>
  <c r="AL36" i="9"/>
  <c r="AM36" i="9" s="1"/>
  <c r="G36" i="9"/>
  <c r="H36" i="9" s="1"/>
  <c r="F36" i="9"/>
  <c r="AL35" i="9"/>
  <c r="AM35" i="9" s="1"/>
  <c r="G35" i="9"/>
  <c r="H35" i="9" s="1"/>
  <c r="F35" i="9"/>
  <c r="AL34" i="9"/>
  <c r="AM34" i="9" s="1"/>
  <c r="G34" i="9"/>
  <c r="H34" i="9" s="1"/>
  <c r="F34" i="9"/>
  <c r="AL33" i="9"/>
  <c r="AM33" i="9" s="1"/>
  <c r="G33" i="9"/>
  <c r="H33" i="9" s="1"/>
  <c r="F33" i="9"/>
  <c r="AL32" i="9"/>
  <c r="AM32" i="9" s="1"/>
  <c r="F32" i="9"/>
  <c r="AL31" i="9"/>
  <c r="AM31" i="9" s="1"/>
  <c r="F31" i="9"/>
  <c r="AL30" i="9"/>
  <c r="G30" i="9"/>
  <c r="H30" i="9" s="1"/>
  <c r="F30" i="9"/>
  <c r="F61" i="9" s="1"/>
  <c r="AM29" i="9"/>
  <c r="AL29" i="9"/>
  <c r="G29" i="9"/>
  <c r="H29" i="9" s="1"/>
  <c r="F29" i="9"/>
  <c r="AL28" i="9"/>
  <c r="AM28" i="9" s="1"/>
  <c r="F28" i="9"/>
  <c r="AL27" i="9"/>
  <c r="AM27" i="9" s="1"/>
  <c r="G27" i="9"/>
  <c r="H27" i="9" s="1"/>
  <c r="F27" i="9"/>
  <c r="AL26" i="9"/>
  <c r="AM26" i="9" s="1"/>
  <c r="F26" i="9"/>
  <c r="AK25" i="9"/>
  <c r="AK98" i="9" s="1"/>
  <c r="AG25" i="9"/>
  <c r="AC25" i="9"/>
  <c r="Y25" i="9"/>
  <c r="U25" i="9"/>
  <c r="Q25" i="9"/>
  <c r="M25" i="9"/>
  <c r="I25" i="9"/>
  <c r="E25" i="9"/>
  <c r="E98" i="9" s="1"/>
  <c r="D25" i="9"/>
  <c r="AL24" i="9"/>
  <c r="AM24" i="9" s="1"/>
  <c r="G24" i="9"/>
  <c r="H24" i="9" s="1"/>
  <c r="F24" i="9"/>
  <c r="AL23" i="9"/>
  <c r="AM23" i="9" s="1"/>
  <c r="G23" i="9"/>
  <c r="H23" i="9" s="1"/>
  <c r="F23" i="9"/>
  <c r="AL22" i="9"/>
  <c r="AM22" i="9" s="1"/>
  <c r="G22" i="9"/>
  <c r="H22" i="9" s="1"/>
  <c r="F22" i="9"/>
  <c r="AL21" i="9"/>
  <c r="AM21" i="9" s="1"/>
  <c r="G21" i="9"/>
  <c r="H21" i="9" s="1"/>
  <c r="F21" i="9"/>
  <c r="AL20" i="9"/>
  <c r="AM20" i="9" s="1"/>
  <c r="F20" i="9"/>
  <c r="AL19" i="9"/>
  <c r="AM19" i="9" s="1"/>
  <c r="F19" i="9"/>
  <c r="AL18" i="9"/>
  <c r="AM18" i="9" s="1"/>
  <c r="G18" i="9"/>
  <c r="H18" i="9" s="1"/>
  <c r="F18" i="9"/>
  <c r="AL17" i="9"/>
  <c r="AM17" i="9" s="1"/>
  <c r="F17" i="9"/>
  <c r="AL16" i="9"/>
  <c r="AM16" i="9" s="1"/>
  <c r="G16" i="9"/>
  <c r="H16" i="9" s="1"/>
  <c r="F16" i="9"/>
  <c r="AL15" i="9"/>
  <c r="AM15" i="9" s="1"/>
  <c r="G15" i="9"/>
  <c r="H15" i="9" s="1"/>
  <c r="F15" i="9"/>
  <c r="AL14" i="9"/>
  <c r="AM14" i="9" s="1"/>
  <c r="F14" i="9"/>
  <c r="AL13" i="9"/>
  <c r="AM13" i="9" s="1"/>
  <c r="G13" i="9"/>
  <c r="H13" i="9" s="1"/>
  <c r="F13" i="9"/>
  <c r="AL12" i="9"/>
  <c r="AM12" i="9" s="1"/>
  <c r="F12" i="9"/>
  <c r="AL11" i="9"/>
  <c r="AM11" i="9" s="1"/>
  <c r="F11" i="9"/>
  <c r="AL10" i="9"/>
  <c r="AM10" i="9" s="1"/>
  <c r="F10" i="9"/>
  <c r="AL9" i="9"/>
  <c r="AM9" i="9" s="1"/>
  <c r="F9" i="9"/>
  <c r="AL8" i="9"/>
  <c r="AM8" i="9" s="1"/>
  <c r="G8" i="9"/>
  <c r="H8" i="9" s="1"/>
  <c r="F8" i="9"/>
  <c r="AL7" i="9"/>
  <c r="AM7" i="9" s="1"/>
  <c r="G7" i="9"/>
  <c r="H7" i="9" s="1"/>
  <c r="F7" i="9"/>
  <c r="AL6" i="9"/>
  <c r="AM6" i="9" s="1"/>
  <c r="F6" i="9"/>
  <c r="AL5" i="9"/>
  <c r="G5" i="9"/>
  <c r="H5" i="9" s="1"/>
  <c r="F5" i="9"/>
  <c r="F25" i="9" s="1"/>
  <c r="G5" i="3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AK96" i="6"/>
  <c r="AG96" i="6"/>
  <c r="AC96" i="6"/>
  <c r="Y96" i="6"/>
  <c r="U96" i="6"/>
  <c r="Q96" i="6"/>
  <c r="M96" i="6"/>
  <c r="I96" i="6"/>
  <c r="E96" i="6"/>
  <c r="D96" i="6"/>
  <c r="AL95" i="6"/>
  <c r="AM95" i="6" s="1"/>
  <c r="G95" i="6"/>
  <c r="H95" i="6" s="1"/>
  <c r="F95" i="6"/>
  <c r="AL94" i="6"/>
  <c r="AM94" i="6" s="1"/>
  <c r="G94" i="6"/>
  <c r="H94" i="6" s="1"/>
  <c r="F94" i="6"/>
  <c r="AL93" i="6"/>
  <c r="AM93" i="6" s="1"/>
  <c r="G93" i="6"/>
  <c r="H93" i="6" s="1"/>
  <c r="F93" i="6"/>
  <c r="AL92" i="6"/>
  <c r="AM92" i="6" s="1"/>
  <c r="G92" i="6"/>
  <c r="H92" i="6" s="1"/>
  <c r="F92" i="6"/>
  <c r="AL91" i="6"/>
  <c r="AM91" i="6" s="1"/>
  <c r="G91" i="6"/>
  <c r="H91" i="6" s="1"/>
  <c r="F91" i="6"/>
  <c r="AL90" i="6"/>
  <c r="AM90" i="6" s="1"/>
  <c r="G90" i="6"/>
  <c r="H90" i="6" s="1"/>
  <c r="F90" i="6"/>
  <c r="AL89" i="6"/>
  <c r="AM89" i="6" s="1"/>
  <c r="G89" i="6"/>
  <c r="H89" i="6" s="1"/>
  <c r="F89" i="6"/>
  <c r="AL88" i="6"/>
  <c r="AM88" i="6" s="1"/>
  <c r="G88" i="6"/>
  <c r="H88" i="6" s="1"/>
  <c r="F88" i="6"/>
  <c r="AL87" i="6"/>
  <c r="AM87" i="6" s="1"/>
  <c r="G87" i="6"/>
  <c r="H87" i="6" s="1"/>
  <c r="F87" i="6"/>
  <c r="AL86" i="6"/>
  <c r="AM86" i="6" s="1"/>
  <c r="G86" i="6"/>
  <c r="H86" i="6" s="1"/>
  <c r="F86" i="6"/>
  <c r="AL85" i="6"/>
  <c r="AM85" i="6" s="1"/>
  <c r="G85" i="6"/>
  <c r="H85" i="6" s="1"/>
  <c r="F85" i="6"/>
  <c r="AL84" i="6"/>
  <c r="AM84" i="6" s="1"/>
  <c r="G84" i="6"/>
  <c r="H84" i="6" s="1"/>
  <c r="F84" i="6"/>
  <c r="AL83" i="6"/>
  <c r="AM83" i="6" s="1"/>
  <c r="H83" i="6"/>
  <c r="G83" i="6"/>
  <c r="F83" i="6"/>
  <c r="AL82" i="6"/>
  <c r="AM82" i="6" s="1"/>
  <c r="G82" i="6"/>
  <c r="H82" i="6" s="1"/>
  <c r="F82" i="6"/>
  <c r="AL81" i="6"/>
  <c r="AM81" i="6" s="1"/>
  <c r="G81" i="6"/>
  <c r="H81" i="6" s="1"/>
  <c r="F81" i="6"/>
  <c r="AL80" i="6"/>
  <c r="AM80" i="6" s="1"/>
  <c r="G80" i="6"/>
  <c r="H80" i="6" s="1"/>
  <c r="F80" i="6"/>
  <c r="AL79" i="6"/>
  <c r="AM79" i="6" s="1"/>
  <c r="G79" i="6"/>
  <c r="H79" i="6" s="1"/>
  <c r="F79" i="6"/>
  <c r="AL78" i="6"/>
  <c r="AM78" i="6" s="1"/>
  <c r="G78" i="6"/>
  <c r="H78" i="6" s="1"/>
  <c r="F78" i="6"/>
  <c r="AL77" i="6"/>
  <c r="AM77" i="6" s="1"/>
  <c r="G77" i="6"/>
  <c r="H77" i="6" s="1"/>
  <c r="F77" i="6"/>
  <c r="AL76" i="6"/>
  <c r="AM76" i="6" s="1"/>
  <c r="G76" i="6"/>
  <c r="H76" i="6" s="1"/>
  <c r="F76" i="6"/>
  <c r="AL75" i="6"/>
  <c r="AM75" i="6" s="1"/>
  <c r="G75" i="6"/>
  <c r="H75" i="6" s="1"/>
  <c r="F75" i="6"/>
  <c r="AL74" i="6"/>
  <c r="AM74" i="6" s="1"/>
  <c r="G74" i="6"/>
  <c r="H74" i="6" s="1"/>
  <c r="F74" i="6"/>
  <c r="AL73" i="6"/>
  <c r="AM73" i="6" s="1"/>
  <c r="G73" i="6"/>
  <c r="H73" i="6" s="1"/>
  <c r="F73" i="6"/>
  <c r="AL72" i="6"/>
  <c r="AM72" i="6" s="1"/>
  <c r="G72" i="6"/>
  <c r="H72" i="6" s="1"/>
  <c r="F72" i="6"/>
  <c r="AL71" i="6"/>
  <c r="AM71" i="6" s="1"/>
  <c r="G71" i="6"/>
  <c r="H71" i="6" s="1"/>
  <c r="F71" i="6"/>
  <c r="AL70" i="6"/>
  <c r="AM70" i="6" s="1"/>
  <c r="G70" i="6"/>
  <c r="H70" i="6" s="1"/>
  <c r="F70" i="6"/>
  <c r="AL69" i="6"/>
  <c r="AM69" i="6" s="1"/>
  <c r="G69" i="6"/>
  <c r="H69" i="6" s="1"/>
  <c r="F69" i="6"/>
  <c r="AL68" i="6"/>
  <c r="AM68" i="6" s="1"/>
  <c r="G68" i="6"/>
  <c r="H68" i="6" s="1"/>
  <c r="F68" i="6"/>
  <c r="AL67" i="6"/>
  <c r="AM67" i="6" s="1"/>
  <c r="G67" i="6"/>
  <c r="H67" i="6" s="1"/>
  <c r="F67" i="6"/>
  <c r="AL66" i="6"/>
  <c r="AM66" i="6" s="1"/>
  <c r="G66" i="6"/>
  <c r="H66" i="6" s="1"/>
  <c r="F66" i="6"/>
  <c r="AL65" i="6"/>
  <c r="AM65" i="6" s="1"/>
  <c r="G65" i="6"/>
  <c r="H65" i="6" s="1"/>
  <c r="F65" i="6"/>
  <c r="AL64" i="6"/>
  <c r="AM64" i="6" s="1"/>
  <c r="G64" i="6"/>
  <c r="H64" i="6" s="1"/>
  <c r="F64" i="6"/>
  <c r="AL63" i="6"/>
  <c r="AM63" i="6" s="1"/>
  <c r="G63" i="6"/>
  <c r="H63" i="6" s="1"/>
  <c r="F63" i="6"/>
  <c r="AL62" i="6"/>
  <c r="G62" i="6"/>
  <c r="F62" i="6"/>
  <c r="F96" i="6" s="1"/>
  <c r="AK61" i="6"/>
  <c r="AJ61" i="6"/>
  <c r="AG61" i="6"/>
  <c r="AC61" i="6"/>
  <c r="Y61" i="6"/>
  <c r="U61" i="6"/>
  <c r="Q61" i="6"/>
  <c r="M61" i="6"/>
  <c r="E61" i="6"/>
  <c r="D61" i="6"/>
  <c r="AL60" i="6"/>
  <c r="AM60" i="6" s="1"/>
  <c r="F60" i="6"/>
  <c r="AL59" i="6"/>
  <c r="AM59" i="6" s="1"/>
  <c r="F59" i="6"/>
  <c r="AL58" i="6"/>
  <c r="AM58" i="6" s="1"/>
  <c r="F58" i="6"/>
  <c r="AL57" i="6"/>
  <c r="AM57" i="6" s="1"/>
  <c r="F57" i="6"/>
  <c r="AL56" i="6"/>
  <c r="AM56" i="6" s="1"/>
  <c r="F56" i="6"/>
  <c r="AL55" i="6"/>
  <c r="AM55" i="6" s="1"/>
  <c r="G55" i="6"/>
  <c r="H55" i="6" s="1"/>
  <c r="F55" i="6"/>
  <c r="AL54" i="6"/>
  <c r="AM54" i="6" s="1"/>
  <c r="G54" i="6"/>
  <c r="H54" i="6" s="1"/>
  <c r="F54" i="6"/>
  <c r="AL53" i="6"/>
  <c r="AM53" i="6" s="1"/>
  <c r="F53" i="6"/>
  <c r="AL52" i="6"/>
  <c r="AM52" i="6" s="1"/>
  <c r="F52" i="6"/>
  <c r="AL51" i="6"/>
  <c r="AM51" i="6" s="1"/>
  <c r="F51" i="6"/>
  <c r="AM50" i="6"/>
  <c r="AL50" i="6"/>
  <c r="F50" i="6"/>
  <c r="AL49" i="6"/>
  <c r="AM49" i="6" s="1"/>
  <c r="G49" i="6"/>
  <c r="H49" i="6" s="1"/>
  <c r="F49" i="6"/>
  <c r="AL48" i="6"/>
  <c r="AM48" i="6" s="1"/>
  <c r="F48" i="6"/>
  <c r="AL47" i="6"/>
  <c r="AM47" i="6" s="1"/>
  <c r="G47" i="6"/>
  <c r="H47" i="6" s="1"/>
  <c r="F47" i="6"/>
  <c r="AL46" i="6"/>
  <c r="AM46" i="6" s="1"/>
  <c r="G46" i="6"/>
  <c r="H46" i="6" s="1"/>
  <c r="F46" i="6"/>
  <c r="AL45" i="6"/>
  <c r="AM45" i="6" s="1"/>
  <c r="G45" i="6"/>
  <c r="H45" i="6" s="1"/>
  <c r="F45" i="6"/>
  <c r="AL44" i="6"/>
  <c r="AM44" i="6" s="1"/>
  <c r="F44" i="6"/>
  <c r="AL43" i="6"/>
  <c r="AM43" i="6" s="1"/>
  <c r="G43" i="6"/>
  <c r="H43" i="6" s="1"/>
  <c r="F43" i="6"/>
  <c r="AL42" i="6"/>
  <c r="AM42" i="6" s="1"/>
  <c r="G42" i="6"/>
  <c r="H42" i="6" s="1"/>
  <c r="F42" i="6"/>
  <c r="AL41" i="6"/>
  <c r="AM41" i="6" s="1"/>
  <c r="F41" i="6"/>
  <c r="AL40" i="6"/>
  <c r="AM40" i="6" s="1"/>
  <c r="G40" i="6"/>
  <c r="H40" i="6" s="1"/>
  <c r="F40" i="6"/>
  <c r="AL39" i="6"/>
  <c r="AM39" i="6" s="1"/>
  <c r="G39" i="6"/>
  <c r="H39" i="6" s="1"/>
  <c r="F39" i="6"/>
  <c r="AL38" i="6"/>
  <c r="AM38" i="6" s="1"/>
  <c r="F38" i="6"/>
  <c r="AL37" i="6"/>
  <c r="AM37" i="6" s="1"/>
  <c r="G37" i="6"/>
  <c r="H37" i="6" s="1"/>
  <c r="F37" i="6"/>
  <c r="AL36" i="6"/>
  <c r="AM36" i="6" s="1"/>
  <c r="G36" i="6"/>
  <c r="H36" i="6" s="1"/>
  <c r="F36" i="6"/>
  <c r="AL35" i="6"/>
  <c r="AM35" i="6" s="1"/>
  <c r="G35" i="6"/>
  <c r="H35" i="6" s="1"/>
  <c r="F35" i="6"/>
  <c r="AL34" i="6"/>
  <c r="AM34" i="6" s="1"/>
  <c r="G34" i="6"/>
  <c r="H34" i="6" s="1"/>
  <c r="F34" i="6"/>
  <c r="AL33" i="6"/>
  <c r="AM33" i="6" s="1"/>
  <c r="G33" i="6"/>
  <c r="H33" i="6" s="1"/>
  <c r="F33" i="6"/>
  <c r="AL32" i="6"/>
  <c r="AM32" i="6" s="1"/>
  <c r="F32" i="6"/>
  <c r="AL31" i="6"/>
  <c r="AM31" i="6" s="1"/>
  <c r="F31" i="6"/>
  <c r="AL30" i="6"/>
  <c r="AM30" i="6" s="1"/>
  <c r="G30" i="6"/>
  <c r="H30" i="6" s="1"/>
  <c r="F30" i="6"/>
  <c r="AL29" i="6"/>
  <c r="AM29" i="6" s="1"/>
  <c r="G29" i="6"/>
  <c r="H29" i="6" s="1"/>
  <c r="F29" i="6"/>
  <c r="AL28" i="6"/>
  <c r="AM28" i="6" s="1"/>
  <c r="F28" i="6"/>
  <c r="AL27" i="6"/>
  <c r="G27" i="6"/>
  <c r="H27" i="6" s="1"/>
  <c r="F27" i="6"/>
  <c r="F61" i="6" s="1"/>
  <c r="AL26" i="6"/>
  <c r="AM26" i="6" s="1"/>
  <c r="F26" i="6"/>
  <c r="AK25" i="6"/>
  <c r="AK98" i="6" s="1"/>
  <c r="AG25" i="6"/>
  <c r="AC25" i="6"/>
  <c r="Y25" i="6"/>
  <c r="U25" i="6"/>
  <c r="Q25" i="6"/>
  <c r="M25" i="6"/>
  <c r="I25" i="6"/>
  <c r="E25" i="6"/>
  <c r="E98" i="6" s="1"/>
  <c r="D25" i="6"/>
  <c r="AL24" i="6"/>
  <c r="AM24" i="6" s="1"/>
  <c r="G24" i="6"/>
  <c r="H24" i="6" s="1"/>
  <c r="F24" i="6"/>
  <c r="AL23" i="6"/>
  <c r="AM23" i="6" s="1"/>
  <c r="G23" i="6"/>
  <c r="H23" i="6" s="1"/>
  <c r="F23" i="6"/>
  <c r="AL22" i="6"/>
  <c r="AM22" i="6" s="1"/>
  <c r="G22" i="6"/>
  <c r="H22" i="6" s="1"/>
  <c r="F22" i="6"/>
  <c r="AL21" i="6"/>
  <c r="AM21" i="6" s="1"/>
  <c r="G21" i="6"/>
  <c r="H21" i="6" s="1"/>
  <c r="F21" i="6"/>
  <c r="AL20" i="6"/>
  <c r="AM20" i="6" s="1"/>
  <c r="F20" i="6"/>
  <c r="AL19" i="6"/>
  <c r="AM19" i="6" s="1"/>
  <c r="F19" i="6"/>
  <c r="AL18" i="6"/>
  <c r="AM18" i="6" s="1"/>
  <c r="G18" i="6"/>
  <c r="H18" i="6" s="1"/>
  <c r="F18" i="6"/>
  <c r="AL17" i="6"/>
  <c r="AM17" i="6" s="1"/>
  <c r="F17" i="6"/>
  <c r="AL16" i="6"/>
  <c r="AM16" i="6" s="1"/>
  <c r="G16" i="6"/>
  <c r="H16" i="6" s="1"/>
  <c r="F16" i="6"/>
  <c r="AL15" i="6"/>
  <c r="AM15" i="6" s="1"/>
  <c r="G15" i="6"/>
  <c r="H15" i="6" s="1"/>
  <c r="F15" i="6"/>
  <c r="AL14" i="6"/>
  <c r="AM14" i="6" s="1"/>
  <c r="F14" i="6"/>
  <c r="AL13" i="6"/>
  <c r="AM13" i="6" s="1"/>
  <c r="G13" i="6"/>
  <c r="H13" i="6" s="1"/>
  <c r="F13" i="6"/>
  <c r="AL12" i="6"/>
  <c r="AM12" i="6" s="1"/>
  <c r="F12" i="6"/>
  <c r="AL11" i="6"/>
  <c r="AM11" i="6" s="1"/>
  <c r="F11" i="6"/>
  <c r="AL10" i="6"/>
  <c r="AM10" i="6" s="1"/>
  <c r="F10" i="6"/>
  <c r="AL9" i="6"/>
  <c r="AM9" i="6" s="1"/>
  <c r="F9" i="6"/>
  <c r="AL8" i="6"/>
  <c r="AM8" i="6" s="1"/>
  <c r="G8" i="6"/>
  <c r="H8" i="6" s="1"/>
  <c r="F8" i="6"/>
  <c r="AL7" i="6"/>
  <c r="AM7" i="6" s="1"/>
  <c r="G7" i="6"/>
  <c r="H7" i="6" s="1"/>
  <c r="F7" i="6"/>
  <c r="AL6" i="6"/>
  <c r="AM6" i="6" s="1"/>
  <c r="F6" i="6"/>
  <c r="AL5" i="6"/>
  <c r="G5" i="6"/>
  <c r="H5" i="6" s="1"/>
  <c r="F5" i="6"/>
  <c r="F25" i="6" s="1"/>
  <c r="AK109" i="5"/>
  <c r="AG109" i="5"/>
  <c r="AC109" i="5"/>
  <c r="Y109" i="5"/>
  <c r="U109" i="5"/>
  <c r="Q109" i="5"/>
  <c r="M109" i="5"/>
  <c r="I109" i="5"/>
  <c r="E109" i="5"/>
  <c r="D109" i="5"/>
  <c r="AL108" i="5"/>
  <c r="AM108" i="5" s="1"/>
  <c r="G108" i="5"/>
  <c r="H108" i="5" s="1"/>
  <c r="F108" i="5"/>
  <c r="AL107" i="5"/>
  <c r="AM107" i="5" s="1"/>
  <c r="G107" i="5"/>
  <c r="H107" i="5" s="1"/>
  <c r="F107" i="5"/>
  <c r="AL106" i="5"/>
  <c r="AM106" i="5" s="1"/>
  <c r="G106" i="5"/>
  <c r="H106" i="5" s="1"/>
  <c r="F106" i="5"/>
  <c r="AL105" i="5"/>
  <c r="AM105" i="5" s="1"/>
  <c r="G105" i="5"/>
  <c r="H105" i="5" s="1"/>
  <c r="F105" i="5"/>
  <c r="AL104" i="5"/>
  <c r="AM104" i="5" s="1"/>
  <c r="G104" i="5"/>
  <c r="H104" i="5" s="1"/>
  <c r="F104" i="5"/>
  <c r="AL103" i="5"/>
  <c r="AM103" i="5" s="1"/>
  <c r="G103" i="5"/>
  <c r="H103" i="5" s="1"/>
  <c r="F103" i="5"/>
  <c r="AL102" i="5"/>
  <c r="AM102" i="5" s="1"/>
  <c r="G102" i="5"/>
  <c r="H102" i="5" s="1"/>
  <c r="F102" i="5"/>
  <c r="AL101" i="5"/>
  <c r="AM101" i="5" s="1"/>
  <c r="G101" i="5"/>
  <c r="H101" i="5" s="1"/>
  <c r="F101" i="5"/>
  <c r="AL100" i="5"/>
  <c r="AM100" i="5" s="1"/>
  <c r="G100" i="5"/>
  <c r="H100" i="5" s="1"/>
  <c r="F100" i="5"/>
  <c r="AL99" i="5"/>
  <c r="AM99" i="5" s="1"/>
  <c r="G99" i="5"/>
  <c r="H99" i="5" s="1"/>
  <c r="F99" i="5"/>
  <c r="AL98" i="5"/>
  <c r="AM98" i="5" s="1"/>
  <c r="G98" i="5"/>
  <c r="H98" i="5" s="1"/>
  <c r="F98" i="5"/>
  <c r="AL97" i="5"/>
  <c r="AM97" i="5" s="1"/>
  <c r="G97" i="5"/>
  <c r="H97" i="5" s="1"/>
  <c r="F97" i="5"/>
  <c r="AL96" i="5"/>
  <c r="AM96" i="5" s="1"/>
  <c r="G96" i="5"/>
  <c r="H96" i="5" s="1"/>
  <c r="F96" i="5"/>
  <c r="AL95" i="5"/>
  <c r="AM95" i="5" s="1"/>
  <c r="G95" i="5"/>
  <c r="H95" i="5" s="1"/>
  <c r="F95" i="5"/>
  <c r="AL94" i="5"/>
  <c r="AM94" i="5" s="1"/>
  <c r="G94" i="5"/>
  <c r="H94" i="5" s="1"/>
  <c r="F94" i="5"/>
  <c r="AL93" i="5"/>
  <c r="AM93" i="5" s="1"/>
  <c r="G93" i="5"/>
  <c r="H93" i="5" s="1"/>
  <c r="F93" i="5"/>
  <c r="AL92" i="5"/>
  <c r="AM92" i="5" s="1"/>
  <c r="G92" i="5"/>
  <c r="H92" i="5" s="1"/>
  <c r="F92" i="5"/>
  <c r="AL91" i="5"/>
  <c r="AM91" i="5" s="1"/>
  <c r="G91" i="5"/>
  <c r="H91" i="5" s="1"/>
  <c r="F91" i="5"/>
  <c r="AL90" i="5"/>
  <c r="AM90" i="5" s="1"/>
  <c r="G90" i="5"/>
  <c r="H90" i="5" s="1"/>
  <c r="F90" i="5"/>
  <c r="AL89" i="5"/>
  <c r="AM89" i="5" s="1"/>
  <c r="G89" i="5"/>
  <c r="H89" i="5" s="1"/>
  <c r="F89" i="5"/>
  <c r="AL88" i="5"/>
  <c r="AM88" i="5" s="1"/>
  <c r="G88" i="5"/>
  <c r="H88" i="5" s="1"/>
  <c r="F88" i="5"/>
  <c r="AL87" i="5"/>
  <c r="AM87" i="5" s="1"/>
  <c r="G87" i="5"/>
  <c r="H87" i="5" s="1"/>
  <c r="F87" i="5"/>
  <c r="AL86" i="5"/>
  <c r="AM86" i="5" s="1"/>
  <c r="G86" i="5"/>
  <c r="H86" i="5" s="1"/>
  <c r="F86" i="5"/>
  <c r="AL85" i="5"/>
  <c r="AM85" i="5" s="1"/>
  <c r="G85" i="5"/>
  <c r="H85" i="5" s="1"/>
  <c r="F85" i="5"/>
  <c r="AL84" i="5"/>
  <c r="AM84" i="5" s="1"/>
  <c r="G84" i="5"/>
  <c r="H84" i="5" s="1"/>
  <c r="F84" i="5"/>
  <c r="AL83" i="5"/>
  <c r="AM83" i="5" s="1"/>
  <c r="G83" i="5"/>
  <c r="H83" i="5" s="1"/>
  <c r="F83" i="5"/>
  <c r="AL82" i="5"/>
  <c r="AM82" i="5" s="1"/>
  <c r="G82" i="5"/>
  <c r="H82" i="5" s="1"/>
  <c r="F82" i="5"/>
  <c r="AL81" i="5"/>
  <c r="AM81" i="5" s="1"/>
  <c r="G81" i="5"/>
  <c r="H81" i="5" s="1"/>
  <c r="F81" i="5"/>
  <c r="AL80" i="5"/>
  <c r="AM80" i="5" s="1"/>
  <c r="G80" i="5"/>
  <c r="H80" i="5" s="1"/>
  <c r="F80" i="5"/>
  <c r="AL79" i="5"/>
  <c r="AM79" i="5" s="1"/>
  <c r="G79" i="5"/>
  <c r="H79" i="5" s="1"/>
  <c r="F79" i="5"/>
  <c r="AL78" i="5"/>
  <c r="AM78" i="5" s="1"/>
  <c r="G78" i="5"/>
  <c r="H78" i="5" s="1"/>
  <c r="F78" i="5"/>
  <c r="AL77" i="5"/>
  <c r="AM77" i="5" s="1"/>
  <c r="G77" i="5"/>
  <c r="H77" i="5" s="1"/>
  <c r="F77" i="5"/>
  <c r="AL76" i="5"/>
  <c r="AM76" i="5" s="1"/>
  <c r="G76" i="5"/>
  <c r="H76" i="5" s="1"/>
  <c r="F76" i="5"/>
  <c r="AL75" i="5"/>
  <c r="G75" i="5"/>
  <c r="F75" i="5"/>
  <c r="F109" i="5" s="1"/>
  <c r="AK74" i="5"/>
  <c r="AJ74" i="5"/>
  <c r="AG74" i="5"/>
  <c r="AC74" i="5"/>
  <c r="Y74" i="5"/>
  <c r="U74" i="5"/>
  <c r="Q74" i="5"/>
  <c r="M74" i="5"/>
  <c r="E74" i="5"/>
  <c r="D74" i="5"/>
  <c r="AL73" i="5"/>
  <c r="AM73" i="5" s="1"/>
  <c r="F73" i="5"/>
  <c r="AL72" i="5"/>
  <c r="AM72" i="5" s="1"/>
  <c r="F72" i="5"/>
  <c r="AL71" i="5"/>
  <c r="AM71" i="5" s="1"/>
  <c r="F71" i="5"/>
  <c r="AL70" i="5"/>
  <c r="AM70" i="5" s="1"/>
  <c r="F70" i="5"/>
  <c r="AL69" i="5"/>
  <c r="AM69" i="5" s="1"/>
  <c r="F69" i="5"/>
  <c r="AL68" i="5"/>
  <c r="AM68" i="5" s="1"/>
  <c r="G68" i="5"/>
  <c r="H68" i="5" s="1"/>
  <c r="F68" i="5"/>
  <c r="AL67" i="5"/>
  <c r="AM67" i="5" s="1"/>
  <c r="G67" i="5"/>
  <c r="H67" i="5" s="1"/>
  <c r="F67" i="5"/>
  <c r="AL66" i="5"/>
  <c r="AM66" i="5" s="1"/>
  <c r="F66" i="5"/>
  <c r="AL65" i="5"/>
  <c r="AM65" i="5" s="1"/>
  <c r="F65" i="5"/>
  <c r="AL64" i="5"/>
  <c r="AM64" i="5" s="1"/>
  <c r="F64" i="5"/>
  <c r="AL63" i="5"/>
  <c r="AM63" i="5" s="1"/>
  <c r="F63" i="5"/>
  <c r="AL62" i="5"/>
  <c r="AM62" i="5" s="1"/>
  <c r="G62" i="5"/>
  <c r="H62" i="5" s="1"/>
  <c r="F62" i="5"/>
  <c r="AL61" i="5"/>
  <c r="AM61" i="5" s="1"/>
  <c r="F61" i="5"/>
  <c r="AL60" i="5"/>
  <c r="AM60" i="5" s="1"/>
  <c r="G60" i="5"/>
  <c r="H60" i="5" s="1"/>
  <c r="F60" i="5"/>
  <c r="AL59" i="5"/>
  <c r="AM59" i="5" s="1"/>
  <c r="G59" i="5"/>
  <c r="H59" i="5" s="1"/>
  <c r="F59" i="5"/>
  <c r="AL58" i="5"/>
  <c r="AM58" i="5" s="1"/>
  <c r="G58" i="5"/>
  <c r="H58" i="5" s="1"/>
  <c r="F58" i="5"/>
  <c r="AL57" i="5"/>
  <c r="AM57" i="5" s="1"/>
  <c r="F57" i="5"/>
  <c r="AL56" i="5"/>
  <c r="AM56" i="5" s="1"/>
  <c r="G56" i="5"/>
  <c r="H56" i="5" s="1"/>
  <c r="F56" i="5"/>
  <c r="AL55" i="5"/>
  <c r="AM55" i="5" s="1"/>
  <c r="G55" i="5"/>
  <c r="H55" i="5" s="1"/>
  <c r="F55" i="5"/>
  <c r="AL54" i="5"/>
  <c r="AM54" i="5" s="1"/>
  <c r="F54" i="5"/>
  <c r="AL53" i="5"/>
  <c r="AM53" i="5" s="1"/>
  <c r="G53" i="5"/>
  <c r="H53" i="5" s="1"/>
  <c r="F53" i="5"/>
  <c r="AL52" i="5"/>
  <c r="AM52" i="5" s="1"/>
  <c r="G52" i="5"/>
  <c r="H52" i="5" s="1"/>
  <c r="F52" i="5"/>
  <c r="AL51" i="5"/>
  <c r="AM51" i="5" s="1"/>
  <c r="F51" i="5"/>
  <c r="AL50" i="5"/>
  <c r="AM50" i="5" s="1"/>
  <c r="G50" i="5"/>
  <c r="H50" i="5" s="1"/>
  <c r="F50" i="5"/>
  <c r="AL49" i="5"/>
  <c r="AM49" i="5" s="1"/>
  <c r="G49" i="5"/>
  <c r="H49" i="5" s="1"/>
  <c r="F49" i="5"/>
  <c r="AL48" i="5"/>
  <c r="AM48" i="5" s="1"/>
  <c r="G48" i="5"/>
  <c r="H48" i="5" s="1"/>
  <c r="F48" i="5"/>
  <c r="AL47" i="5"/>
  <c r="AM47" i="5" s="1"/>
  <c r="G47" i="5"/>
  <c r="H47" i="5" s="1"/>
  <c r="F47" i="5"/>
  <c r="AL46" i="5"/>
  <c r="AM46" i="5" s="1"/>
  <c r="G46" i="5"/>
  <c r="H46" i="5" s="1"/>
  <c r="F46" i="5"/>
  <c r="AL45" i="5"/>
  <c r="AM45" i="5" s="1"/>
  <c r="F45" i="5"/>
  <c r="AL44" i="5"/>
  <c r="AM44" i="5" s="1"/>
  <c r="F44" i="5"/>
  <c r="AL43" i="5"/>
  <c r="AM43" i="5" s="1"/>
  <c r="G43" i="5"/>
  <c r="H43" i="5" s="1"/>
  <c r="F43" i="5"/>
  <c r="AL42" i="5"/>
  <c r="AM42" i="5" s="1"/>
  <c r="G42" i="5"/>
  <c r="H42" i="5" s="1"/>
  <c r="F42" i="5"/>
  <c r="AL41" i="5"/>
  <c r="AM41" i="5" s="1"/>
  <c r="F41" i="5"/>
  <c r="AL40" i="5"/>
  <c r="G40" i="5"/>
  <c r="H40" i="5" s="1"/>
  <c r="F40" i="5"/>
  <c r="AL39" i="5"/>
  <c r="AM39" i="5" s="1"/>
  <c r="F39" i="5"/>
  <c r="AK38" i="5"/>
  <c r="AG38" i="5"/>
  <c r="AC38" i="5"/>
  <c r="Y38" i="5"/>
  <c r="U38" i="5"/>
  <c r="Q38" i="5"/>
  <c r="M38" i="5"/>
  <c r="I38" i="5"/>
  <c r="E38" i="5"/>
  <c r="D38" i="5"/>
  <c r="AL15" i="5"/>
  <c r="AM15" i="5" s="1"/>
  <c r="G15" i="5"/>
  <c r="H15" i="5" s="1"/>
  <c r="F15" i="5"/>
  <c r="AL14" i="5"/>
  <c r="AM14" i="5" s="1"/>
  <c r="F14" i="5"/>
  <c r="AL13" i="5"/>
  <c r="AM13" i="5" s="1"/>
  <c r="G13" i="5"/>
  <c r="H13" i="5" s="1"/>
  <c r="F13" i="5"/>
  <c r="AL12" i="5"/>
  <c r="AM12" i="5" s="1"/>
  <c r="F12" i="5"/>
  <c r="AL11" i="5"/>
  <c r="AM11" i="5" s="1"/>
  <c r="F11" i="5"/>
  <c r="AL10" i="5"/>
  <c r="AM10" i="5" s="1"/>
  <c r="F10" i="5"/>
  <c r="AL9" i="5"/>
  <c r="AM9" i="5" s="1"/>
  <c r="F9" i="5"/>
  <c r="AL8" i="5"/>
  <c r="AM8" i="5" s="1"/>
  <c r="G8" i="5"/>
  <c r="H8" i="5" s="1"/>
  <c r="F8" i="5"/>
  <c r="AL7" i="5"/>
  <c r="AM7" i="5" s="1"/>
  <c r="G7" i="5"/>
  <c r="H7" i="5" s="1"/>
  <c r="F7" i="5"/>
  <c r="AL6" i="5"/>
  <c r="AM6" i="5" s="1"/>
  <c r="F6" i="5"/>
  <c r="AL5" i="5"/>
  <c r="G5" i="5"/>
  <c r="H5" i="5" s="1"/>
  <c r="F5" i="5"/>
  <c r="AK98" i="1"/>
  <c r="E98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M77" i="1" s="1"/>
  <c r="AL76" i="1"/>
  <c r="AL75" i="1"/>
  <c r="AL74" i="1"/>
  <c r="AM74" i="1" s="1"/>
  <c r="AL73" i="1"/>
  <c r="AM73" i="1" s="1"/>
  <c r="AL72" i="1"/>
  <c r="AM72" i="1" s="1"/>
  <c r="AL71" i="1"/>
  <c r="AM71" i="1" s="1"/>
  <c r="AL70" i="1"/>
  <c r="AM70" i="1" s="1"/>
  <c r="AL69" i="1"/>
  <c r="AM69" i="1" s="1"/>
  <c r="AL68" i="1"/>
  <c r="AM68" i="1" s="1"/>
  <c r="AL67" i="1"/>
  <c r="AM67" i="1" s="1"/>
  <c r="AL66" i="1"/>
  <c r="AM66" i="1" s="1"/>
  <c r="AL65" i="1"/>
  <c r="AM65" i="1" s="1"/>
  <c r="AL64" i="1"/>
  <c r="AM64" i="1" s="1"/>
  <c r="AL63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6" i="1"/>
  <c r="AM75" i="1"/>
  <c r="AK96" i="1"/>
  <c r="AG96" i="1"/>
  <c r="AC96" i="1"/>
  <c r="Y96" i="1"/>
  <c r="U96" i="1"/>
  <c r="Q96" i="1"/>
  <c r="M96" i="1"/>
  <c r="I96" i="1"/>
  <c r="H96" i="1"/>
  <c r="G96" i="1"/>
  <c r="F96" i="1"/>
  <c r="E96" i="1"/>
  <c r="D96" i="1"/>
  <c r="F68" i="1"/>
  <c r="G68" i="1"/>
  <c r="H68" i="1" s="1"/>
  <c r="G86" i="1"/>
  <c r="H86" i="1" s="1"/>
  <c r="F86" i="1"/>
  <c r="G85" i="1"/>
  <c r="H85" i="1" s="1"/>
  <c r="F85" i="1"/>
  <c r="G79" i="1"/>
  <c r="H79" i="1" s="1"/>
  <c r="F79" i="1"/>
  <c r="G81" i="1"/>
  <c r="H81" i="1" s="1"/>
  <c r="F81" i="1"/>
  <c r="G82" i="1"/>
  <c r="H82" i="1" s="1"/>
  <c r="F82" i="1"/>
  <c r="G83" i="1"/>
  <c r="H83" i="1" s="1"/>
  <c r="F83" i="1"/>
  <c r="G84" i="1"/>
  <c r="H84" i="1" s="1"/>
  <c r="F84" i="1"/>
  <c r="G69" i="1"/>
  <c r="H69" i="1" s="1"/>
  <c r="F69" i="1"/>
  <c r="G77" i="1"/>
  <c r="H77" i="1" s="1"/>
  <c r="F77" i="1"/>
  <c r="F80" i="1"/>
  <c r="G80" i="1"/>
  <c r="H80" i="1" s="1"/>
  <c r="F78" i="1"/>
  <c r="G78" i="1"/>
  <c r="H78" i="1" s="1"/>
  <c r="G63" i="1"/>
  <c r="H63" i="1" s="1"/>
  <c r="F63" i="1"/>
  <c r="G75" i="1"/>
  <c r="H75" i="1" s="1"/>
  <c r="F75" i="1"/>
  <c r="G72" i="1"/>
  <c r="H72" i="1" s="1"/>
  <c r="F72" i="1"/>
  <c r="G71" i="1"/>
  <c r="H71" i="1" s="1"/>
  <c r="F71" i="1"/>
  <c r="G70" i="1"/>
  <c r="H70" i="1" s="1"/>
  <c r="F70" i="1"/>
  <c r="AL24" i="1"/>
  <c r="AM24" i="1" s="1"/>
  <c r="AL23" i="1"/>
  <c r="AM23" i="1" s="1"/>
  <c r="AL22" i="1"/>
  <c r="AM22" i="1" s="1"/>
  <c r="AL21" i="1"/>
  <c r="AM21" i="1" s="1"/>
  <c r="AL20" i="1"/>
  <c r="AM20" i="1" s="1"/>
  <c r="AL19" i="1"/>
  <c r="AM19" i="1" s="1"/>
  <c r="AL18" i="1"/>
  <c r="AM18" i="1" s="1"/>
  <c r="AL17" i="1"/>
  <c r="AM17" i="1" s="1"/>
  <c r="AL16" i="1"/>
  <c r="AM16" i="1" s="1"/>
  <c r="AL15" i="1"/>
  <c r="AL14" i="1"/>
  <c r="AM14" i="1" s="1"/>
  <c r="AL13" i="1"/>
  <c r="AL12" i="1"/>
  <c r="AM12" i="1" s="1"/>
  <c r="AL11" i="1"/>
  <c r="AM11" i="1" s="1"/>
  <c r="AL10" i="1"/>
  <c r="AM10" i="1" s="1"/>
  <c r="AL9" i="1"/>
  <c r="AM9" i="1" s="1"/>
  <c r="AL8" i="1"/>
  <c r="AM8" i="1" s="1"/>
  <c r="AL7" i="1"/>
  <c r="AM7" i="1" s="1"/>
  <c r="AL6" i="1"/>
  <c r="AM6" i="1" s="1"/>
  <c r="AL60" i="1"/>
  <c r="AM60" i="1" s="1"/>
  <c r="AL59" i="1"/>
  <c r="AM59" i="1" s="1"/>
  <c r="AL58" i="1"/>
  <c r="AM58" i="1" s="1"/>
  <c r="AL57" i="1"/>
  <c r="AM57" i="1" s="1"/>
  <c r="AL56" i="1"/>
  <c r="AM56" i="1" s="1"/>
  <c r="AL55" i="1"/>
  <c r="AM55" i="1" s="1"/>
  <c r="AL54" i="1"/>
  <c r="AM54" i="1" s="1"/>
  <c r="AL53" i="1"/>
  <c r="AM53" i="1" s="1"/>
  <c r="AL52" i="1"/>
  <c r="AM52" i="1" s="1"/>
  <c r="AL51" i="1"/>
  <c r="AM51" i="1" s="1"/>
  <c r="AL50" i="1"/>
  <c r="AM50" i="1" s="1"/>
  <c r="AL49" i="1"/>
  <c r="AM49" i="1" s="1"/>
  <c r="AL48" i="1"/>
  <c r="AM48" i="1" s="1"/>
  <c r="AL47" i="1"/>
  <c r="AM47" i="1" s="1"/>
  <c r="AL46" i="1"/>
  <c r="AM46" i="1" s="1"/>
  <c r="AL45" i="1"/>
  <c r="AM45" i="1" s="1"/>
  <c r="AL44" i="1"/>
  <c r="AM44" i="1" s="1"/>
  <c r="AL43" i="1"/>
  <c r="AM43" i="1" s="1"/>
  <c r="AL42" i="1"/>
  <c r="AM42" i="1" s="1"/>
  <c r="AL41" i="1"/>
  <c r="AM41" i="1" s="1"/>
  <c r="AL40" i="1"/>
  <c r="AM40" i="1" s="1"/>
  <c r="AL39" i="1"/>
  <c r="AM39" i="1" s="1"/>
  <c r="AL38" i="1"/>
  <c r="AM38" i="1" s="1"/>
  <c r="AL37" i="1"/>
  <c r="AM37" i="1" s="1"/>
  <c r="AL36" i="1"/>
  <c r="AM36" i="1" s="1"/>
  <c r="AL35" i="1"/>
  <c r="AM35" i="1" s="1"/>
  <c r="AL34" i="1"/>
  <c r="AM34" i="1" s="1"/>
  <c r="AL33" i="1"/>
  <c r="AM33" i="1" s="1"/>
  <c r="AL32" i="1"/>
  <c r="AM32" i="1" s="1"/>
  <c r="AL31" i="1"/>
  <c r="AM31" i="1" s="1"/>
  <c r="AL30" i="1"/>
  <c r="AM30" i="1" s="1"/>
  <c r="AL29" i="1"/>
  <c r="AM29" i="1" s="1"/>
  <c r="AL28" i="1"/>
  <c r="AM28" i="1" s="1"/>
  <c r="AL27" i="1"/>
  <c r="AM27" i="1" s="1"/>
  <c r="AK61" i="1"/>
  <c r="F60" i="1"/>
  <c r="F59" i="1"/>
  <c r="F58" i="1"/>
  <c r="F57" i="1"/>
  <c r="F56" i="1"/>
  <c r="F53" i="1"/>
  <c r="F52" i="1"/>
  <c r="F51" i="1"/>
  <c r="F50" i="1"/>
  <c r="F48" i="1"/>
  <c r="F44" i="1"/>
  <c r="F39" i="1"/>
  <c r="G39" i="1"/>
  <c r="H39" i="1" s="1"/>
  <c r="F40" i="1"/>
  <c r="G40" i="1"/>
  <c r="H40" i="1" s="1"/>
  <c r="F41" i="1"/>
  <c r="F42" i="1"/>
  <c r="G42" i="1"/>
  <c r="H42" i="1" s="1"/>
  <c r="F43" i="1"/>
  <c r="G43" i="1"/>
  <c r="H43" i="1" s="1"/>
  <c r="F38" i="1"/>
  <c r="F32" i="1"/>
  <c r="F31" i="1"/>
  <c r="F28" i="1"/>
  <c r="AL26" i="1"/>
  <c r="AM26" i="1" s="1"/>
  <c r="F26" i="1"/>
  <c r="E61" i="1"/>
  <c r="D61" i="1"/>
  <c r="D25" i="1"/>
  <c r="AJ61" i="1"/>
  <c r="AG61" i="1"/>
  <c r="AC61" i="1"/>
  <c r="Y61" i="1"/>
  <c r="U61" i="1"/>
  <c r="Q61" i="1"/>
  <c r="M61" i="1"/>
  <c r="I61" i="1"/>
  <c r="AG25" i="1"/>
  <c r="AC25" i="1"/>
  <c r="AK25" i="1"/>
  <c r="Y25" i="1"/>
  <c r="U25" i="1"/>
  <c r="Q25" i="1"/>
  <c r="M25" i="1"/>
  <c r="I25" i="1"/>
  <c r="F20" i="1"/>
  <c r="F19" i="1"/>
  <c r="F17" i="1"/>
  <c r="F14" i="1"/>
  <c r="F12" i="1"/>
  <c r="F11" i="1"/>
  <c r="F10" i="1"/>
  <c r="F9" i="1"/>
  <c r="F6" i="1"/>
  <c r="G7" i="1"/>
  <c r="H7" i="1" s="1"/>
  <c r="F7" i="1"/>
  <c r="E8" i="2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5" i="2"/>
  <c r="E15" i="1"/>
  <c r="E13" i="1"/>
  <c r="AL62" i="1"/>
  <c r="AM62" i="1" s="1"/>
  <c r="G95" i="1"/>
  <c r="H95" i="1" s="1"/>
  <c r="F95" i="1"/>
  <c r="G94" i="1"/>
  <c r="H94" i="1" s="1"/>
  <c r="F94" i="1"/>
  <c r="G93" i="1"/>
  <c r="H93" i="1" s="1"/>
  <c r="F93" i="1"/>
  <c r="G92" i="1"/>
  <c r="H92" i="1" s="1"/>
  <c r="F92" i="1"/>
  <c r="G91" i="1"/>
  <c r="H91" i="1" s="1"/>
  <c r="F91" i="1"/>
  <c r="G90" i="1"/>
  <c r="H90" i="1" s="1"/>
  <c r="F90" i="1"/>
  <c r="G89" i="1"/>
  <c r="H89" i="1" s="1"/>
  <c r="F89" i="1"/>
  <c r="G88" i="1"/>
  <c r="H88" i="1" s="1"/>
  <c r="F88" i="1"/>
  <c r="G87" i="1"/>
  <c r="H87" i="1" s="1"/>
  <c r="F87" i="1"/>
  <c r="G76" i="1"/>
  <c r="H76" i="1" s="1"/>
  <c r="F76" i="1"/>
  <c r="G74" i="1"/>
  <c r="H74" i="1" s="1"/>
  <c r="F74" i="1"/>
  <c r="G73" i="1"/>
  <c r="H73" i="1" s="1"/>
  <c r="F73" i="1"/>
  <c r="G67" i="1"/>
  <c r="H67" i="1" s="1"/>
  <c r="F67" i="1"/>
  <c r="G66" i="1"/>
  <c r="H66" i="1" s="1"/>
  <c r="F66" i="1"/>
  <c r="G65" i="1"/>
  <c r="H65" i="1" s="1"/>
  <c r="F65" i="1"/>
  <c r="G64" i="1"/>
  <c r="H64" i="1" s="1"/>
  <c r="F64" i="1"/>
  <c r="G62" i="1"/>
  <c r="H62" i="1" s="1"/>
  <c r="F62" i="1"/>
  <c r="G55" i="1"/>
  <c r="H55" i="1" s="1"/>
  <c r="F55" i="1"/>
  <c r="G54" i="1"/>
  <c r="H54" i="1" s="1"/>
  <c r="F54" i="1"/>
  <c r="G49" i="1"/>
  <c r="H49" i="1" s="1"/>
  <c r="F49" i="1"/>
  <c r="G47" i="1"/>
  <c r="H47" i="1" s="1"/>
  <c r="F47" i="1"/>
  <c r="G46" i="1"/>
  <c r="H46" i="1" s="1"/>
  <c r="F46" i="1"/>
  <c r="G45" i="1"/>
  <c r="H45" i="1" s="1"/>
  <c r="F45" i="1"/>
  <c r="G37" i="1"/>
  <c r="H37" i="1" s="1"/>
  <c r="F37" i="1"/>
  <c r="G36" i="1"/>
  <c r="H36" i="1" s="1"/>
  <c r="F36" i="1"/>
  <c r="G35" i="1"/>
  <c r="H35" i="1" s="1"/>
  <c r="F35" i="1"/>
  <c r="G34" i="1"/>
  <c r="H34" i="1" s="1"/>
  <c r="F34" i="1"/>
  <c r="G33" i="1"/>
  <c r="H33" i="1" s="1"/>
  <c r="F33" i="1"/>
  <c r="G30" i="1"/>
  <c r="H30" i="1" s="1"/>
  <c r="F30" i="1"/>
  <c r="G29" i="1"/>
  <c r="H29" i="1" s="1"/>
  <c r="F29" i="1"/>
  <c r="G27" i="1"/>
  <c r="H27" i="1" s="1"/>
  <c r="F27" i="1"/>
  <c r="G24" i="1"/>
  <c r="H24" i="1" s="1"/>
  <c r="F24" i="1"/>
  <c r="G23" i="1"/>
  <c r="H23" i="1" s="1"/>
  <c r="F23" i="1"/>
  <c r="G22" i="1"/>
  <c r="H22" i="1" s="1"/>
  <c r="F22" i="1"/>
  <c r="G21" i="1"/>
  <c r="H21" i="1" s="1"/>
  <c r="F21" i="1"/>
  <c r="G18" i="1"/>
  <c r="H18" i="1" s="1"/>
  <c r="F18" i="1"/>
  <c r="G16" i="1"/>
  <c r="H16" i="1" s="1"/>
  <c r="F16" i="1"/>
  <c r="G15" i="1"/>
  <c r="H15" i="1" s="1"/>
  <c r="G13" i="1"/>
  <c r="H13" i="1" s="1"/>
  <c r="G8" i="1"/>
  <c r="H8" i="1" s="1"/>
  <c r="F8" i="1"/>
  <c r="F5" i="1"/>
  <c r="AL5" i="1"/>
  <c r="G5" i="1"/>
  <c r="F74" i="5" l="1"/>
  <c r="AK111" i="5"/>
  <c r="E111" i="5"/>
  <c r="F38" i="5"/>
  <c r="F108" i="12"/>
  <c r="AM109" i="12"/>
  <c r="H84" i="12"/>
  <c r="AM83" i="12"/>
  <c r="AL108" i="12"/>
  <c r="F55" i="12"/>
  <c r="AM34" i="12"/>
  <c r="AL55" i="12"/>
  <c r="AM56" i="12"/>
  <c r="F24" i="12"/>
  <c r="G108" i="12"/>
  <c r="G138" i="12" s="1"/>
  <c r="H56" i="12"/>
  <c r="AM27" i="12"/>
  <c r="AL24" i="12"/>
  <c r="AM5" i="12"/>
  <c r="AL96" i="9"/>
  <c r="AM62" i="9"/>
  <c r="G96" i="9"/>
  <c r="H62" i="9"/>
  <c r="H96" i="9" s="1"/>
  <c r="AM30" i="9"/>
  <c r="AL61" i="9"/>
  <c r="AL25" i="9"/>
  <c r="AM5" i="9"/>
  <c r="AM96" i="9" s="1"/>
  <c r="AM62" i="6"/>
  <c r="AL96" i="6"/>
  <c r="H62" i="6"/>
  <c r="H96" i="6" s="1"/>
  <c r="G96" i="6"/>
  <c r="AL61" i="6"/>
  <c r="AM27" i="6"/>
  <c r="AM5" i="6"/>
  <c r="AL25" i="6"/>
  <c r="AL109" i="5"/>
  <c r="AM75" i="5"/>
  <c r="G109" i="5"/>
  <c r="H75" i="5"/>
  <c r="H109" i="5" s="1"/>
  <c r="AL74" i="5"/>
  <c r="AM40" i="5"/>
  <c r="AM5" i="5"/>
  <c r="AM109" i="5" s="1"/>
  <c r="AL38" i="5"/>
  <c r="AM63" i="1"/>
  <c r="AL96" i="1"/>
  <c r="F61" i="1"/>
  <c r="AL61" i="1"/>
  <c r="E25" i="1"/>
  <c r="AL25" i="1"/>
  <c r="E6" i="2"/>
  <c r="E7" i="2" s="1"/>
  <c r="AM15" i="1"/>
  <c r="F15" i="1"/>
  <c r="AM13" i="1"/>
  <c r="F13" i="1"/>
  <c r="H5" i="1"/>
  <c r="AM5" i="1"/>
  <c r="AM108" i="12" l="1"/>
  <c r="H108" i="12"/>
  <c r="H138" i="12" s="1"/>
  <c r="AM96" i="6"/>
  <c r="F25" i="1"/>
  <c r="AM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QUIRINO SOSA</author>
  </authors>
  <commentList>
    <comment ref="D4" authorId="0" shapeId="0" xr:uid="{5B7A4A4D-6465-4F25-9F89-140BC9F153FE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ESTE IMPORTE ES DEL CONSUMO ANTES DE LA PROPINA SUGERIDA</t>
        </r>
      </text>
    </comment>
    <comment ref="F4" authorId="0" shapeId="0" xr:uid="{59677EAE-AFA6-4AB0-BE28-310F93F71BDA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A VECES LA PROPINA NO ES LA SUGERIDA, PUEDE SER MAS O MENOS
</t>
        </r>
      </text>
    </comment>
    <comment ref="AK25" authorId="0" shapeId="0" xr:uid="{7B4EC64E-4D73-42B4-A1F5-3698E8DAADD2}">
      <text>
        <r>
          <rPr>
            <b/>
            <sz val="9"/>
            <color indexed="81"/>
            <rFont val="Tahoma"/>
            <charset val="1"/>
          </rPr>
          <t>QUIRINO SOSA:</t>
        </r>
        <r>
          <rPr>
            <sz val="9"/>
            <color indexed="81"/>
            <rFont val="Tahoma"/>
            <charset val="1"/>
          </rPr>
          <t xml:space="preserve">
DIFERENCIA DE 4,039.52 VS TICKETS</t>
        </r>
      </text>
    </comment>
    <comment ref="AK61" authorId="0" shapeId="0" xr:uid="{B282C54A-8592-4E99-834F-2C2E351AB777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DIF, 690  EFECTIVO VS TICKETS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QUIRINO SOSA</author>
  </authors>
  <commentList>
    <comment ref="D4" authorId="0" shapeId="0" xr:uid="{BA28FD94-654B-4937-B230-1BD7D6735306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ESTE IMPORTE ES DEL CONSUMO ANTES DE LA PROPINA SUGERIDA</t>
        </r>
      </text>
    </comment>
    <comment ref="F4" authorId="0" shapeId="0" xr:uid="{F0FC44E0-97A0-46FE-9B0B-4D3E7D2AFD34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A VECES LA PROPINA NO ES LA SUGERIDA, PUEDE SER MAS O MENOS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QUIRINO SOSA</author>
  </authors>
  <commentList>
    <comment ref="D4" authorId="0" shapeId="0" xr:uid="{3F9B1646-9D50-4FEE-9C37-00FD41061A73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ESTE IMPORTE ES DEL CONSUMO ANTES DE LA PROPINA SUGERIDA</t>
        </r>
      </text>
    </comment>
    <comment ref="F4" authorId="0" shapeId="0" xr:uid="{C05A7018-9DA1-4727-A8FC-FC107055F0C7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A VECES LA PROPINA NO ES LA SUGERIDA, PUEDE SER MAS O MENOS
</t>
        </r>
      </text>
    </comment>
    <comment ref="AK38" authorId="0" shapeId="0" xr:uid="{30DBB8F9-E18B-48E5-8C2E-AD42198B5653}">
      <text>
        <r>
          <rPr>
            <b/>
            <sz val="9"/>
            <color indexed="81"/>
            <rFont val="Tahoma"/>
            <charset val="1"/>
          </rPr>
          <t>QUIRINO SOSA:</t>
        </r>
        <r>
          <rPr>
            <sz val="9"/>
            <color indexed="81"/>
            <rFont val="Tahoma"/>
            <charset val="1"/>
          </rPr>
          <t xml:space="preserve">
DIFERENCIA DE 4,039.52 VS TICKETS</t>
        </r>
      </text>
    </comment>
    <comment ref="AK74" authorId="0" shapeId="0" xr:uid="{6C5F6A6D-64B8-4C9E-A641-2B587A1B7E15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DIF, 690  EFECTIVO VS TICKETS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QUIRINO SOSA</author>
  </authors>
  <commentList>
    <comment ref="D4" authorId="0" shapeId="0" xr:uid="{D20D5845-1E2B-4ECD-A379-AE093606AC53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ESTE IMPORTE ES DEL CONSUMO ANTES DE LA PROPINA SUGERIDA</t>
        </r>
      </text>
    </comment>
    <comment ref="F4" authorId="0" shapeId="0" xr:uid="{F3EC4FBE-C298-47A8-A225-221E95025B18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A VECES LA PROPINA NO ES LA SUGERIDA, PUEDE SER MAS O MENOS
</t>
        </r>
      </text>
    </comment>
    <comment ref="AK25" authorId="0" shapeId="0" xr:uid="{72CDBAA6-DEA4-4E07-AB3F-206AF7FB4EEA}">
      <text>
        <r>
          <rPr>
            <b/>
            <sz val="9"/>
            <color indexed="81"/>
            <rFont val="Tahoma"/>
            <charset val="1"/>
          </rPr>
          <t>QUIRINO SOSA:</t>
        </r>
        <r>
          <rPr>
            <sz val="9"/>
            <color indexed="81"/>
            <rFont val="Tahoma"/>
            <charset val="1"/>
          </rPr>
          <t xml:space="preserve">
DIFERENCIA DE 4,039.52 VS TICKETS</t>
        </r>
      </text>
    </comment>
    <comment ref="AK61" authorId="0" shapeId="0" xr:uid="{DFB28C31-CD7C-4686-AB53-35A924EBE320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DIF, 690  EFECTIVO VS TICKETS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QUIRINO SOSA</author>
  </authors>
  <commentList>
    <comment ref="D4" authorId="0" shapeId="0" xr:uid="{13E92275-3188-4472-85B8-82EA7649BEE9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ESTE IMPORTE ES DEL CONSUMO ANTES DE LA PROPINA SUGERIDA</t>
        </r>
      </text>
    </comment>
    <comment ref="F4" authorId="0" shapeId="0" xr:uid="{2EBAFB37-E3B3-4995-9F2E-8BDFE754DA47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A VECES LA PROPINA NO ES LA SUGERIDA, PUEDE SER MAS O MENOS
</t>
        </r>
      </text>
    </comment>
    <comment ref="AK25" authorId="0" shapeId="0" xr:uid="{26C79AB7-4B10-44DA-B00A-CFF45F116B88}">
      <text>
        <r>
          <rPr>
            <b/>
            <sz val="9"/>
            <color indexed="81"/>
            <rFont val="Tahoma"/>
            <charset val="1"/>
          </rPr>
          <t>QUIRINO SOSA:</t>
        </r>
        <r>
          <rPr>
            <sz val="9"/>
            <color indexed="81"/>
            <rFont val="Tahoma"/>
            <charset val="1"/>
          </rPr>
          <t xml:space="preserve">
DIFERENCIA DE 4,039.52 VS TICKETS</t>
        </r>
      </text>
    </comment>
    <comment ref="AK61" authorId="0" shapeId="0" xr:uid="{587648B4-B775-4C3C-904C-9FEAC70E4225}">
      <text>
        <r>
          <rPr>
            <b/>
            <sz val="9"/>
            <color indexed="81"/>
            <rFont val="Tahoma"/>
            <family val="2"/>
          </rPr>
          <t>QUIRINO SOSA:</t>
        </r>
        <r>
          <rPr>
            <sz val="9"/>
            <color indexed="81"/>
            <rFont val="Tahoma"/>
            <family val="2"/>
          </rPr>
          <t xml:space="preserve">
DIF, 690  EFECTIVO VS TICKETS
</t>
        </r>
      </text>
    </comment>
  </commentList>
</comments>
</file>

<file path=xl/sharedStrings.xml><?xml version="1.0" encoding="utf-8"?>
<sst xmlns="http://schemas.openxmlformats.org/spreadsheetml/2006/main" count="739" uniqueCount="368">
  <si>
    <t>FECHA</t>
  </si>
  <si>
    <t>NOTA #</t>
  </si>
  <si>
    <t>IMPORTE</t>
  </si>
  <si>
    <t>PAGADO</t>
  </si>
  <si>
    <t xml:space="preserve">PROPINA </t>
  </si>
  <si>
    <t>DIFERENCIA</t>
  </si>
  <si>
    <t>SUGERIDA 15%</t>
  </si>
  <si>
    <t>TARJETA 1</t>
  </si>
  <si>
    <t>TARJETA 2</t>
  </si>
  <si>
    <t>TARJETA 3</t>
  </si>
  <si>
    <t>TARJETA 4</t>
  </si>
  <si>
    <t>EFECTIVO</t>
  </si>
  <si>
    <t>TIPODE PAGO</t>
  </si>
  <si>
    <t>TOTAL</t>
  </si>
  <si>
    <t xml:space="preserve"> </t>
  </si>
  <si>
    <t>VENTAS DE LA SEMANA DEL 16 AL 18 DE JUL 2026</t>
  </si>
  <si>
    <t>V</t>
  </si>
  <si>
    <t>M</t>
  </si>
  <si>
    <t>A</t>
  </si>
  <si>
    <t>TARJETA 5</t>
  </si>
  <si>
    <t>NOMINA EMPLEADOS</t>
  </si>
  <si>
    <t>NOMBRE</t>
  </si>
  <si>
    <t>ASISTENCIA</t>
  </si>
  <si>
    <t>PUNTUALIDAD</t>
  </si>
  <si>
    <t>DESCRIPCION</t>
  </si>
  <si>
    <t>TOTALES</t>
  </si>
  <si>
    <t>CARGO</t>
  </si>
  <si>
    <t>ABONO</t>
  </si>
  <si>
    <t>SALDO</t>
  </si>
  <si>
    <t>SALDO EFECTIVO COBRADO</t>
  </si>
  <si>
    <t>VARIEDAD</t>
  </si>
  <si>
    <t>PROPINAS</t>
  </si>
  <si>
    <t xml:space="preserve">IMPORTE CON </t>
  </si>
  <si>
    <t>PROPINA SUG</t>
  </si>
  <si>
    <t>X</t>
  </si>
  <si>
    <t>SALARIO</t>
  </si>
  <si>
    <t>PANFILO ANACLETO</t>
  </si>
  <si>
    <t>HORA</t>
  </si>
  <si>
    <t>11.18 PM</t>
  </si>
  <si>
    <t>D1Zg</t>
  </si>
  <si>
    <t>12.52 AM</t>
  </si>
  <si>
    <t>4REw</t>
  </si>
  <si>
    <t>1.27 AM</t>
  </si>
  <si>
    <t>69Yj</t>
  </si>
  <si>
    <t>1.37 AM</t>
  </si>
  <si>
    <t>aLXc</t>
  </si>
  <si>
    <t>1,55 AM</t>
  </si>
  <si>
    <t>KOPm</t>
  </si>
  <si>
    <t>2.05 AM</t>
  </si>
  <si>
    <t>P47z</t>
  </si>
  <si>
    <t>WQnD</t>
  </si>
  <si>
    <t>2.22 AM</t>
  </si>
  <si>
    <t>2.23 AM</t>
  </si>
  <si>
    <t>Vptv</t>
  </si>
  <si>
    <t>2.44 AM</t>
  </si>
  <si>
    <t>TCXg</t>
  </si>
  <si>
    <t>2.46 AM</t>
  </si>
  <si>
    <t>1137B</t>
  </si>
  <si>
    <t>12.27 AM</t>
  </si>
  <si>
    <t>9My9</t>
  </si>
  <si>
    <t>12.50 AM</t>
  </si>
  <si>
    <t>kMxz</t>
  </si>
  <si>
    <t>1.00 AM</t>
  </si>
  <si>
    <t>000I</t>
  </si>
  <si>
    <t>1.09 AM</t>
  </si>
  <si>
    <t>Jj72</t>
  </si>
  <si>
    <t>x</t>
  </si>
  <si>
    <t>1.22 AM</t>
  </si>
  <si>
    <t>CX6I</t>
  </si>
  <si>
    <t>10.57 AM</t>
  </si>
  <si>
    <t>aKyY</t>
  </si>
  <si>
    <t>11.36 AM</t>
  </si>
  <si>
    <t>M9fs</t>
  </si>
  <si>
    <t>5ZcM</t>
  </si>
  <si>
    <t>1.02 AM</t>
  </si>
  <si>
    <t>XC61</t>
  </si>
  <si>
    <t>1.05 AM</t>
  </si>
  <si>
    <t>gpz6</t>
  </si>
  <si>
    <t>1.07 AM</t>
  </si>
  <si>
    <t>iFsV</t>
  </si>
  <si>
    <t>1.34 AM</t>
  </si>
  <si>
    <t>Whks</t>
  </si>
  <si>
    <t>2.04 AM</t>
  </si>
  <si>
    <t>CfUV</t>
  </si>
  <si>
    <t>2.17 AM</t>
  </si>
  <si>
    <t>IZ1F</t>
  </si>
  <si>
    <t>2.21 AM</t>
  </si>
  <si>
    <t>LV4d</t>
  </si>
  <si>
    <t>IWfQ</t>
  </si>
  <si>
    <t>1.36 AM</t>
  </si>
  <si>
    <t>yb2W</t>
  </si>
  <si>
    <t>1.38 AM</t>
  </si>
  <si>
    <t>OMSL</t>
  </si>
  <si>
    <t>2.10 AM</t>
  </si>
  <si>
    <t>ngKV</t>
  </si>
  <si>
    <t>kRTd</t>
  </si>
  <si>
    <t>2.14 AM</t>
  </si>
  <si>
    <t>Juf</t>
  </si>
  <si>
    <t>eqRQ</t>
  </si>
  <si>
    <t>2.26 AM</t>
  </si>
  <si>
    <t>CwXw</t>
  </si>
  <si>
    <t>VGOU</t>
  </si>
  <si>
    <t>2.31 AM</t>
  </si>
  <si>
    <t>piit</t>
  </si>
  <si>
    <t>2.36 AM</t>
  </si>
  <si>
    <t>xr78</t>
  </si>
  <si>
    <t>2.54 AM</t>
  </si>
  <si>
    <t>JFJu</t>
  </si>
  <si>
    <t>2.57 AM</t>
  </si>
  <si>
    <t>cnkK</t>
  </si>
  <si>
    <t>TOTALES DEL DIA</t>
  </si>
  <si>
    <t>10.57 PM</t>
  </si>
  <si>
    <t>NYQW</t>
  </si>
  <si>
    <t>12.37 AM</t>
  </si>
  <si>
    <t>KhA7</t>
  </si>
  <si>
    <t>1.01 AM</t>
  </si>
  <si>
    <t>ndDp</t>
  </si>
  <si>
    <t>1.03 AM</t>
  </si>
  <si>
    <t>7f47</t>
  </si>
  <si>
    <t>1.49 AM</t>
  </si>
  <si>
    <t>Wd6p</t>
  </si>
  <si>
    <t>Ooje</t>
  </si>
  <si>
    <t>dWgU</t>
  </si>
  <si>
    <t>2.20 AM</t>
  </si>
  <si>
    <t>2.32 AM</t>
  </si>
  <si>
    <t>s3hf</t>
  </si>
  <si>
    <t>2.37 AM</t>
  </si>
  <si>
    <t>afJL</t>
  </si>
  <si>
    <t>2.38 AM</t>
  </si>
  <si>
    <t>mbWO</t>
  </si>
  <si>
    <t>2.43 AM</t>
  </si>
  <si>
    <t>JUQ8</t>
  </si>
  <si>
    <t>wkTq</t>
  </si>
  <si>
    <t>2.59 AM</t>
  </si>
  <si>
    <t>BAJM</t>
  </si>
  <si>
    <t>3.00 AM</t>
  </si>
  <si>
    <t>FW9t</t>
  </si>
  <si>
    <t>3.02 AM</t>
  </si>
  <si>
    <t>7d3s</t>
  </si>
  <si>
    <t>3.03 AM</t>
  </si>
  <si>
    <t>Wamc</t>
  </si>
  <si>
    <t>3.07 AM</t>
  </si>
  <si>
    <t>39Iwg</t>
  </si>
  <si>
    <t>10.44 PM</t>
  </si>
  <si>
    <t>UeY8</t>
  </si>
  <si>
    <t>10.58 PM</t>
  </si>
  <si>
    <t>Fyc</t>
  </si>
  <si>
    <t>11.04 PM</t>
  </si>
  <si>
    <t>Ulr</t>
  </si>
  <si>
    <t>wu8</t>
  </si>
  <si>
    <t>12.03 PM</t>
  </si>
  <si>
    <t>11.53 PM</t>
  </si>
  <si>
    <t>LAE</t>
  </si>
  <si>
    <t>9ap</t>
  </si>
  <si>
    <t>1.31 AM</t>
  </si>
  <si>
    <t>iw3</t>
  </si>
  <si>
    <t>1.46 AM</t>
  </si>
  <si>
    <t>Gm1</t>
  </si>
  <si>
    <t>2.39 AM</t>
  </si>
  <si>
    <t>dyl</t>
  </si>
  <si>
    <t>2.40 AM</t>
  </si>
  <si>
    <t>Dn3</t>
  </si>
  <si>
    <t>2.45 AM</t>
  </si>
  <si>
    <t>On1</t>
  </si>
  <si>
    <t>2.48 AM</t>
  </si>
  <si>
    <t>EFF4</t>
  </si>
  <si>
    <t>2.50 AM</t>
  </si>
  <si>
    <t>5wC</t>
  </si>
  <si>
    <t>2.52 AM</t>
  </si>
  <si>
    <t>dvt</t>
  </si>
  <si>
    <t>2.53 AM</t>
  </si>
  <si>
    <t>Orjo</t>
  </si>
  <si>
    <t>Cck</t>
  </si>
  <si>
    <t>Ph7</t>
  </si>
  <si>
    <t>12.42 AM</t>
  </si>
  <si>
    <t>Jopq</t>
  </si>
  <si>
    <t>12.51 AM</t>
  </si>
  <si>
    <t>QxE</t>
  </si>
  <si>
    <t>1.11 AM</t>
  </si>
  <si>
    <t>zr4w</t>
  </si>
  <si>
    <t>1.32 AM</t>
  </si>
  <si>
    <t>8QBu</t>
  </si>
  <si>
    <t>10.54 PM</t>
  </si>
  <si>
    <t>Ee8Q</t>
  </si>
  <si>
    <t>PEN33</t>
  </si>
  <si>
    <t>5wG</t>
  </si>
  <si>
    <t>fqtI</t>
  </si>
  <si>
    <t>9PY</t>
  </si>
  <si>
    <t>Url</t>
  </si>
  <si>
    <t>2.30 AM</t>
  </si>
  <si>
    <t>Ewr</t>
  </si>
  <si>
    <t>2.29 AM</t>
  </si>
  <si>
    <t>OiH</t>
  </si>
  <si>
    <t>2.28 AM</t>
  </si>
  <si>
    <t>HKpd</t>
  </si>
  <si>
    <t>2.24 AM</t>
  </si>
  <si>
    <t>JxH</t>
  </si>
  <si>
    <t>Ln6</t>
  </si>
  <si>
    <t>yaAH</t>
  </si>
  <si>
    <t>12.36 AM</t>
  </si>
  <si>
    <t>UR7</t>
  </si>
  <si>
    <t>EFECTIVO COBRADO</t>
  </si>
  <si>
    <t xml:space="preserve">VENTAS DE LA SEMANA DEL </t>
  </si>
  <si>
    <t>VENTAS DE LA SEMANA DEL 09-11 DE JULIO 2026</t>
  </si>
  <si>
    <t>G8rg</t>
  </si>
  <si>
    <t>VENTAS DE LA SEMANA DEL 23-25 DE JULIO 2026</t>
  </si>
  <si>
    <t>lleq</t>
  </si>
  <si>
    <t>SQ4E</t>
  </si>
  <si>
    <t>DWt</t>
  </si>
  <si>
    <t>GM5K</t>
  </si>
  <si>
    <t>E6Qr</t>
  </si>
  <si>
    <t>KFI4V</t>
  </si>
  <si>
    <t>gGpL</t>
  </si>
  <si>
    <t>kuOY</t>
  </si>
  <si>
    <t>IKcD</t>
  </si>
  <si>
    <t>VbBc</t>
  </si>
  <si>
    <t>R2u9</t>
  </si>
  <si>
    <t>1ZZD</t>
  </si>
  <si>
    <t>FToU</t>
  </si>
  <si>
    <t>py9c</t>
  </si>
  <si>
    <t>D2jn</t>
  </si>
  <si>
    <t>67R</t>
  </si>
  <si>
    <t>vnfp</t>
  </si>
  <si>
    <t>5TCB</t>
  </si>
  <si>
    <t>mzOM</t>
  </si>
  <si>
    <t>EEOx</t>
  </si>
  <si>
    <t>Tkac</t>
  </si>
  <si>
    <t>OQW7</t>
  </si>
  <si>
    <t>EZ5Q</t>
  </si>
  <si>
    <t>F4G7</t>
  </si>
  <si>
    <t>rXKr</t>
  </si>
  <si>
    <t>jnSL</t>
  </si>
  <si>
    <t>KxKo</t>
  </si>
  <si>
    <t>zJfY</t>
  </si>
  <si>
    <t>Q4jB</t>
  </si>
  <si>
    <t>5KrE</t>
  </si>
  <si>
    <t>PsHH</t>
  </si>
  <si>
    <t>VSFS</t>
  </si>
  <si>
    <t>IUIV4</t>
  </si>
  <si>
    <t>C1CC</t>
  </si>
  <si>
    <t>G2wg</t>
  </si>
  <si>
    <t>S9DT</t>
  </si>
  <si>
    <t>aDdO</t>
  </si>
  <si>
    <t>TNlt</t>
  </si>
  <si>
    <t>MeQ0</t>
  </si>
  <si>
    <t>RAWc</t>
  </si>
  <si>
    <t>RFmy</t>
  </si>
  <si>
    <t>c0-Nz</t>
  </si>
  <si>
    <t>UDN1</t>
  </si>
  <si>
    <t>IX6</t>
  </si>
  <si>
    <t>4kuB</t>
  </si>
  <si>
    <t>Hfub</t>
  </si>
  <si>
    <t>tzfj</t>
  </si>
  <si>
    <t>BHBIE</t>
  </si>
  <si>
    <t>D6pn</t>
  </si>
  <si>
    <t>aaER</t>
  </si>
  <si>
    <t>NDo5</t>
  </si>
  <si>
    <t>HKWy4</t>
  </si>
  <si>
    <t>OT77</t>
  </si>
  <si>
    <t>WHs</t>
  </si>
  <si>
    <t>Zt51</t>
  </si>
  <si>
    <t>QWHm</t>
  </si>
  <si>
    <t>LN1Q</t>
  </si>
  <si>
    <t>LKIo</t>
  </si>
  <si>
    <t>NBs</t>
  </si>
  <si>
    <t>IIvTo</t>
  </si>
  <si>
    <t>6TSx</t>
  </si>
  <si>
    <t>Sb1</t>
  </si>
  <si>
    <t>6hSs</t>
  </si>
  <si>
    <t>r450</t>
  </si>
  <si>
    <t>Bwjc</t>
  </si>
  <si>
    <t>NOA</t>
  </si>
  <si>
    <t>mgCD</t>
  </si>
  <si>
    <t>DLSc</t>
  </si>
  <si>
    <t>JvoXt</t>
  </si>
  <si>
    <t>00L20</t>
  </si>
  <si>
    <t>ARXC</t>
  </si>
  <si>
    <t>6zfV</t>
  </si>
  <si>
    <t>V2x</t>
  </si>
  <si>
    <t>V7AE</t>
  </si>
  <si>
    <t>nz8pF</t>
  </si>
  <si>
    <t>d2uv</t>
  </si>
  <si>
    <t>pxzih</t>
  </si>
  <si>
    <t>nd3D</t>
  </si>
  <si>
    <t>eaMm7</t>
  </si>
  <si>
    <t>rxhF</t>
  </si>
  <si>
    <t>KcNz</t>
  </si>
  <si>
    <t>Vmr8</t>
  </si>
  <si>
    <t>eh19b</t>
  </si>
  <si>
    <t>CJGk</t>
  </si>
  <si>
    <t>Wc6r</t>
  </si>
  <si>
    <t>xVxM</t>
  </si>
  <si>
    <t>SyBl</t>
  </si>
  <si>
    <t>lsqr</t>
  </si>
  <si>
    <t>Vjlf</t>
  </si>
  <si>
    <t>SceD</t>
  </si>
  <si>
    <t>byiD</t>
  </si>
  <si>
    <t>MLKR</t>
  </si>
  <si>
    <t>LBw</t>
  </si>
  <si>
    <t>Yfvc</t>
  </si>
  <si>
    <t>XdKf</t>
  </si>
  <si>
    <t>APLA</t>
  </si>
  <si>
    <t>tzSB</t>
  </si>
  <si>
    <t>4kPU</t>
  </si>
  <si>
    <t>Drco</t>
  </si>
  <si>
    <t>QGv2v</t>
  </si>
  <si>
    <t>66RK</t>
  </si>
  <si>
    <t>Gg1u</t>
  </si>
  <si>
    <t>w3Rf</t>
  </si>
  <si>
    <t>ookG</t>
  </si>
  <si>
    <t>V70P</t>
  </si>
  <si>
    <t>cTka</t>
  </si>
  <si>
    <t>RHBT</t>
  </si>
  <si>
    <t>rAbS</t>
  </si>
  <si>
    <t>Xx0n</t>
  </si>
  <si>
    <t>Es4r</t>
  </si>
  <si>
    <t>L2bs</t>
  </si>
  <si>
    <t>ZPh5</t>
  </si>
  <si>
    <t>1nFv</t>
  </si>
  <si>
    <t>UAIE</t>
  </si>
  <si>
    <t>TCmn</t>
  </si>
  <si>
    <t>N8OW</t>
  </si>
  <si>
    <t>bNpt</t>
  </si>
  <si>
    <t>o1GR</t>
  </si>
  <si>
    <t>h6sx</t>
  </si>
  <si>
    <t>Wkf8</t>
  </si>
  <si>
    <t>kX95i</t>
  </si>
  <si>
    <t>ehbs</t>
  </si>
  <si>
    <t>Okwr</t>
  </si>
  <si>
    <t>SyUo</t>
  </si>
  <si>
    <t>onhg</t>
  </si>
  <si>
    <t>qjdv</t>
  </si>
  <si>
    <t>nuJ8</t>
  </si>
  <si>
    <t>Kbze</t>
  </si>
  <si>
    <t>94Kn</t>
  </si>
  <si>
    <t>Ltcc</t>
  </si>
  <si>
    <t>AiOh</t>
  </si>
  <si>
    <t>jokGL</t>
  </si>
  <si>
    <t>1RNX</t>
  </si>
  <si>
    <t>lclo</t>
  </si>
  <si>
    <t>1clo</t>
  </si>
  <si>
    <t>QTt6</t>
  </si>
  <si>
    <t>xRnN</t>
  </si>
  <si>
    <t>unOM1</t>
  </si>
  <si>
    <t>J5p5</t>
  </si>
  <si>
    <t>LdCm</t>
  </si>
  <si>
    <t>dqS80</t>
  </si>
  <si>
    <t>SiOb</t>
  </si>
  <si>
    <t>xOdq</t>
  </si>
  <si>
    <t>dWYi</t>
  </si>
  <si>
    <t>TTyj</t>
  </si>
  <si>
    <t>2RdK</t>
  </si>
  <si>
    <t>8LOP</t>
  </si>
  <si>
    <t>uZB8</t>
  </si>
  <si>
    <t>mUsx</t>
  </si>
  <si>
    <t>SCP10</t>
  </si>
  <si>
    <t>upKX</t>
  </si>
  <si>
    <t>Xpku</t>
  </si>
  <si>
    <t>na6r</t>
  </si>
  <si>
    <t>yKy6</t>
  </si>
  <si>
    <t>hAk2</t>
  </si>
  <si>
    <t>cDUU</t>
  </si>
  <si>
    <t>LzBz</t>
  </si>
  <si>
    <t>4MBR</t>
  </si>
  <si>
    <t>fkA4</t>
  </si>
  <si>
    <t>0Ilb</t>
  </si>
  <si>
    <t>C5qY</t>
  </si>
  <si>
    <t>TARJETA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</si>
</sst>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;@"/>
    <numFmt numFmtId="165" formatCode="[$-F400]h:mm:ss\ AM/PM"/>
  </numFmts>
  <fonts count="10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16" fontId="0" fillId="0" borderId="0" xfId="0" applyNumberFormat="1"/>
    <xf numFmtId="0" fontId="0" fillId="6" borderId="1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0" fillId="0" borderId="1" xfId="0" applyBorder="1"/>
    <xf numFmtId="0" fontId="0" fillId="6" borderId="26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14" fontId="0" fillId="0" borderId="2" xfId="0" applyNumberFormat="1" applyBorder="1"/>
    <xf numFmtId="164" fontId="0" fillId="0" borderId="0" xfId="0" applyNumberFormat="1"/>
    <xf numFmtId="164" fontId="0" fillId="6" borderId="12" xfId="0" applyNumberFormat="1" applyFill="1" applyBorder="1" applyAlignment="1">
      <alignment horizontal="center"/>
    </xf>
    <xf numFmtId="164" fontId="0" fillId="6" borderId="19" xfId="0" applyNumberFormat="1" applyFill="1" applyBorder="1" applyAlignment="1">
      <alignment horizontal="center"/>
    </xf>
    <xf numFmtId="164" fontId="0" fillId="0" borderId="3" xfId="0" applyNumberFormat="1" applyBorder="1"/>
    <xf numFmtId="164" fontId="0" fillId="0" borderId="2" xfId="0" applyNumberFormat="1" applyBorder="1"/>
    <xf numFmtId="43" fontId="0" fillId="0" borderId="2" xfId="1" applyFont="1" applyBorder="1"/>
    <xf numFmtId="43" fontId="0" fillId="0" borderId="0" xfId="1" applyFont="1"/>
    <xf numFmtId="43" fontId="0" fillId="0" borderId="3" xfId="1" applyFont="1" applyBorder="1"/>
    <xf numFmtId="43" fontId="0" fillId="0" borderId="28" xfId="1" applyFont="1" applyBorder="1"/>
    <xf numFmtId="43" fontId="0" fillId="0" borderId="29" xfId="1" applyFont="1" applyBorder="1"/>
    <xf numFmtId="43" fontId="0" fillId="8" borderId="2" xfId="1" applyFont="1" applyFill="1" applyBorder="1"/>
    <xf numFmtId="14" fontId="0" fillId="0" borderId="1" xfId="0" applyNumberFormat="1" applyBorder="1"/>
    <xf numFmtId="43" fontId="0" fillId="0" borderId="1" xfId="1" applyFont="1" applyBorder="1"/>
    <xf numFmtId="43" fontId="0" fillId="6" borderId="13" xfId="1" applyFont="1" applyFill="1" applyBorder="1" applyAlignment="1">
      <alignment horizontal="center"/>
    </xf>
    <xf numFmtId="43" fontId="0" fillId="7" borderId="14" xfId="1" applyFont="1" applyFill="1" applyBorder="1" applyAlignment="1">
      <alignment horizontal="center"/>
    </xf>
    <xf numFmtId="43" fontId="0" fillId="7" borderId="24" xfId="1" applyFont="1" applyFill="1" applyBorder="1" applyAlignment="1">
      <alignment horizontal="center"/>
    </xf>
    <xf numFmtId="43" fontId="0" fillId="2" borderId="15" xfId="1" applyFont="1" applyFill="1" applyBorder="1" applyAlignment="1">
      <alignment horizontal="center"/>
    </xf>
    <xf numFmtId="43" fontId="0" fillId="2" borderId="16" xfId="1" applyFont="1" applyFill="1" applyBorder="1" applyAlignment="1">
      <alignment horizontal="center"/>
    </xf>
    <xf numFmtId="43" fontId="0" fillId="2" borderId="18" xfId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43" fontId="0" fillId="6" borderId="4" xfId="1" applyFont="1" applyFill="1" applyBorder="1" applyAlignment="1">
      <alignment horizontal="center"/>
    </xf>
    <xf numFmtId="43" fontId="0" fillId="7" borderId="5" xfId="1" applyFont="1" applyFill="1" applyBorder="1" applyAlignment="1">
      <alignment horizontal="center"/>
    </xf>
    <xf numFmtId="43" fontId="0" fillId="7" borderId="25" xfId="1" applyFont="1" applyFill="1" applyBorder="1" applyAlignment="1">
      <alignment horizontal="center"/>
    </xf>
    <xf numFmtId="43" fontId="0" fillId="3" borderId="6" xfId="1" applyFont="1" applyFill="1" applyBorder="1" applyAlignment="1">
      <alignment horizontal="center"/>
    </xf>
    <xf numFmtId="43" fontId="0" fillId="3" borderId="7" xfId="1" applyFont="1" applyFill="1" applyBorder="1" applyAlignment="1">
      <alignment horizontal="center" vertical="top"/>
    </xf>
    <xf numFmtId="43" fontId="0" fillId="3" borderId="8" xfId="1" applyFont="1" applyFill="1" applyBorder="1" applyAlignment="1">
      <alignment horizontal="center"/>
    </xf>
    <xf numFmtId="43" fontId="0" fillId="4" borderId="8" xfId="1" applyFont="1" applyFill="1" applyBorder="1" applyAlignment="1">
      <alignment horizontal="center"/>
    </xf>
    <xf numFmtId="43" fontId="0" fillId="5" borderId="20" xfId="1" applyFont="1" applyFill="1" applyBorder="1" applyAlignment="1">
      <alignment horizontal="center"/>
    </xf>
    <xf numFmtId="43" fontId="6" fillId="0" borderId="0" xfId="1" applyFont="1" applyAlignment="1">
      <alignment horizontal="center"/>
    </xf>
    <xf numFmtId="43" fontId="0" fillId="9" borderId="3" xfId="1" applyFont="1" applyFill="1" applyBorder="1"/>
    <xf numFmtId="164" fontId="0" fillId="0" borderId="28" xfId="0" applyNumberFormat="1" applyBorder="1"/>
    <xf numFmtId="0" fontId="0" fillId="0" borderId="28" xfId="0" applyBorder="1"/>
    <xf numFmtId="43" fontId="9" fillId="0" borderId="22" xfId="1" applyFont="1" applyBorder="1"/>
    <xf numFmtId="43" fontId="9" fillId="0" borderId="23" xfId="1" applyFont="1" applyBorder="1"/>
    <xf numFmtId="43" fontId="9" fillId="0" borderId="0" xfId="1" applyFont="1"/>
    <xf numFmtId="43" fontId="0" fillId="0" borderId="3" xfId="1" applyFont="1" applyFill="1" applyBorder="1"/>
    <xf numFmtId="43" fontId="0" fillId="0" borderId="2" xfId="1" applyFont="1" applyFill="1" applyBorder="1"/>
    <xf numFmtId="43" fontId="0" fillId="0" borderId="28" xfId="1" applyFont="1" applyFill="1" applyBorder="1"/>
    <xf numFmtId="165" fontId="0" fillId="0" borderId="0" xfId="0" applyNumberFormat="1"/>
    <xf numFmtId="165" fontId="0" fillId="6" borderId="26" xfId="0" applyNumberFormat="1" applyFill="1" applyBorder="1" applyAlignment="1">
      <alignment horizontal="center"/>
    </xf>
    <xf numFmtId="165" fontId="0" fillId="6" borderId="27" xfId="0" applyNumberFormat="1" applyFill="1" applyBorder="1" applyAlignment="1">
      <alignment horizontal="center"/>
    </xf>
    <xf numFmtId="165" fontId="0" fillId="0" borderId="3" xfId="0" applyNumberFormat="1" applyBorder="1"/>
    <xf numFmtId="165" fontId="0" fillId="0" borderId="2" xfId="0" applyNumberFormat="1" applyBorder="1"/>
    <xf numFmtId="165" fontId="0" fillId="0" borderId="28" xfId="0" applyNumberFormat="1" applyBorder="1"/>
    <xf numFmtId="18" fontId="0" fillId="0" borderId="3" xfId="0" applyNumberFormat="1" applyBorder="1"/>
    <xf numFmtId="18" fontId="0" fillId="0" borderId="2" xfId="0" applyNumberFormat="1" applyBorder="1"/>
    <xf numFmtId="18" fontId="0" fillId="0" borderId="28" xfId="0" applyNumberFormat="1" applyBorder="1"/>
    <xf numFmtId="43" fontId="0" fillId="8" borderId="3" xfId="1" applyFont="1" applyFill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3" fontId="0" fillId="2" borderId="16" xfId="1" applyFont="1" applyFill="1" applyBorder="1" applyAlignment="1">
      <alignment horizontal="center"/>
    </xf>
    <xf numFmtId="43" fontId="0" fillId="2" borderId="17" xfId="1" applyFont="1" applyFill="1" applyBorder="1" applyAlignment="1">
      <alignment horizontal="center"/>
    </xf>
    <xf numFmtId="43" fontId="9" fillId="0" borderId="30" xfId="1" applyFont="1" applyBorder="1" applyAlignment="1">
      <alignment horizontal="center"/>
    </xf>
    <xf numFmtId="43" fontId="9" fillId="0" borderId="31" xfId="1" applyFont="1" applyBorder="1" applyAlignment="1">
      <alignment horizontal="center"/>
    </xf>
    <xf numFmtId="43" fontId="9" fillId="0" borderId="32" xfId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CC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911D-5270-4F0F-A51D-80E2DCDF6F83}">
  <dimension ref="A1:AQ98"/>
  <sheetViews>
    <sheetView workbookViewId="0">
      <pane ySplit="4" topLeftCell="A5" activePane="bottomLeft" state="frozen"/>
      <selection pane="bottomLeft" sqref="A1:XFD1048576"/>
    </sheetView>
  </sheetViews>
  <sheetFormatPr baseColWidth="10" defaultRowHeight="15" x14ac:dyDescent="0.25"/>
  <cols>
    <col min="1" max="1" width="11.140625" style="14" bestFit="1" customWidth="1"/>
    <col min="2" max="2" width="11.140625" style="52" customWidth="1"/>
    <col min="3" max="3" width="12" bestFit="1" customWidth="1"/>
    <col min="4" max="5" width="14.42578125" style="20" bestFit="1" customWidth="1"/>
    <col min="6" max="6" width="15.85546875" style="20" bestFit="1" customWidth="1"/>
    <col min="7" max="7" width="19.7109375" style="20" hidden="1" customWidth="1"/>
    <col min="8" max="8" width="18.42578125" style="20" hidden="1" customWidth="1"/>
    <col min="9" max="9" width="14.28515625" style="20" bestFit="1" customWidth="1"/>
    <col min="10" max="10" width="3.140625" style="20" customWidth="1"/>
    <col min="11" max="11" width="2.5703125" style="20" customWidth="1"/>
    <col min="12" max="12" width="2.140625" style="20" bestFit="1" customWidth="1"/>
    <col min="13" max="13" width="14.28515625" style="20" bestFit="1" customWidth="1"/>
    <col min="14" max="14" width="2.140625" style="20" bestFit="1" customWidth="1"/>
    <col min="15" max="15" width="2.5703125" style="20" bestFit="1" customWidth="1"/>
    <col min="16" max="16" width="2.140625" style="20" bestFit="1" customWidth="1"/>
    <col min="17" max="17" width="14.28515625" style="20" bestFit="1" customWidth="1"/>
    <col min="18" max="18" width="2.140625" style="20" bestFit="1" customWidth="1"/>
    <col min="19" max="19" width="2.5703125" style="20" bestFit="1" customWidth="1"/>
    <col min="20" max="20" width="2.140625" style="20" bestFit="1" customWidth="1"/>
    <col min="21" max="21" width="14.28515625" style="20" bestFit="1" customWidth="1"/>
    <col min="22" max="22" width="2.140625" style="20" bestFit="1" customWidth="1"/>
    <col min="23" max="23" width="2.5703125" style="20" bestFit="1" customWidth="1"/>
    <col min="24" max="24" width="2.140625" style="20" bestFit="1" customWidth="1"/>
    <col min="25" max="25" width="14.28515625" style="20" bestFit="1" customWidth="1"/>
    <col min="26" max="28" width="2.140625" style="20" customWidth="1"/>
    <col min="29" max="29" width="14.28515625" style="20" bestFit="1" customWidth="1"/>
    <col min="30" max="32" width="2.140625" style="20" customWidth="1"/>
    <col min="33" max="33" width="14.28515625" style="20" bestFit="1" customWidth="1"/>
    <col min="34" max="36" width="2.140625" style="20" customWidth="1"/>
    <col min="37" max="37" width="14.85546875" style="20" bestFit="1" customWidth="1"/>
    <col min="38" max="38" width="14.5703125" style="20" bestFit="1" customWidth="1"/>
    <col min="39" max="39" width="10" style="20" customWidth="1"/>
  </cols>
  <sheetData>
    <row r="1" spans="1:43" ht="22.5" thickTop="1" thickBot="1" x14ac:dyDescent="0.4">
      <c r="A1" s="62" t="s">
        <v>202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4"/>
    </row>
    <row r="2" spans="1:43" ht="16.5" thickTop="1" thickBot="1" x14ac:dyDescent="0.3"/>
    <row r="3" spans="1:43" s="1" customFormat="1" ht="15.75" thickTop="1" x14ac:dyDescent="0.25">
      <c r="A3" s="15"/>
      <c r="B3" s="53"/>
      <c r="C3" s="5"/>
      <c r="D3" s="27"/>
      <c r="E3" s="27" t="s">
        <v>2</v>
      </c>
      <c r="F3" s="27"/>
      <c r="G3" s="28" t="s">
        <v>4</v>
      </c>
      <c r="H3" s="29" t="s">
        <v>32</v>
      </c>
      <c r="I3" s="30"/>
      <c r="J3" s="31"/>
      <c r="K3" s="31"/>
      <c r="L3" s="31"/>
      <c r="M3" s="65" t="s">
        <v>12</v>
      </c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6"/>
      <c r="AL3" s="32"/>
      <c r="AM3" s="33"/>
    </row>
    <row r="4" spans="1:43" s="1" customFormat="1" ht="26.25" customHeight="1" thickBot="1" x14ac:dyDescent="0.3">
      <c r="A4" s="16" t="s">
        <v>0</v>
      </c>
      <c r="B4" s="54" t="s">
        <v>37</v>
      </c>
      <c r="C4" s="6" t="s">
        <v>1</v>
      </c>
      <c r="D4" s="34" t="s">
        <v>2</v>
      </c>
      <c r="E4" s="34" t="s">
        <v>3</v>
      </c>
      <c r="F4" s="34" t="s">
        <v>5</v>
      </c>
      <c r="G4" s="35" t="s">
        <v>6</v>
      </c>
      <c r="H4" s="36" t="s">
        <v>33</v>
      </c>
      <c r="I4" s="37" t="s">
        <v>7</v>
      </c>
      <c r="J4" s="38" t="s">
        <v>16</v>
      </c>
      <c r="K4" s="38" t="s">
        <v>17</v>
      </c>
      <c r="L4" s="38" t="s">
        <v>18</v>
      </c>
      <c r="M4" s="39" t="s">
        <v>8</v>
      </c>
      <c r="N4" s="38" t="s">
        <v>16</v>
      </c>
      <c r="O4" s="38" t="s">
        <v>17</v>
      </c>
      <c r="P4" s="38" t="s">
        <v>18</v>
      </c>
      <c r="Q4" s="39" t="s">
        <v>9</v>
      </c>
      <c r="R4" s="38" t="s">
        <v>16</v>
      </c>
      <c r="S4" s="38" t="s">
        <v>17</v>
      </c>
      <c r="T4" s="38" t="s">
        <v>18</v>
      </c>
      <c r="U4" s="39" t="s">
        <v>10</v>
      </c>
      <c r="V4" s="38" t="s">
        <v>16</v>
      </c>
      <c r="W4" s="38" t="s">
        <v>17</v>
      </c>
      <c r="X4" s="38" t="s">
        <v>18</v>
      </c>
      <c r="Y4" s="39" t="s">
        <v>19</v>
      </c>
      <c r="Z4" s="38" t="s">
        <v>16</v>
      </c>
      <c r="AA4" s="38" t="s">
        <v>17</v>
      </c>
      <c r="AB4" s="38" t="s">
        <v>18</v>
      </c>
      <c r="AC4" s="39" t="s">
        <v>19</v>
      </c>
      <c r="AD4" s="38" t="s">
        <v>16</v>
      </c>
      <c r="AE4" s="38" t="s">
        <v>17</v>
      </c>
      <c r="AF4" s="38" t="s">
        <v>18</v>
      </c>
      <c r="AG4" s="39" t="s">
        <v>19</v>
      </c>
      <c r="AH4" s="38" t="s">
        <v>16</v>
      </c>
      <c r="AI4" s="38" t="s">
        <v>17</v>
      </c>
      <c r="AJ4" s="38" t="s">
        <v>18</v>
      </c>
      <c r="AK4" s="40" t="s">
        <v>11</v>
      </c>
      <c r="AL4" s="41" t="s">
        <v>13</v>
      </c>
      <c r="AM4" s="42" t="s">
        <v>5</v>
      </c>
    </row>
    <row r="5" spans="1:43" ht="15.75" thickTop="1" x14ac:dyDescent="0.25">
      <c r="A5" s="17"/>
      <c r="B5" s="55"/>
      <c r="C5" s="3"/>
      <c r="D5" s="21"/>
      <c r="E5" s="21"/>
      <c r="F5" s="21">
        <f>+E5-D5</f>
        <v>0</v>
      </c>
      <c r="G5" s="21">
        <f>+D5*0.15</f>
        <v>0</v>
      </c>
      <c r="H5" s="21">
        <f>+D5+G5</f>
        <v>0</v>
      </c>
      <c r="I5" s="4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>
        <f>SUM(I5:AK5)</f>
        <v>0</v>
      </c>
      <c r="AM5" s="21">
        <f t="shared" ref="AM5:AM24" si="0">+AL5-E5</f>
        <v>0</v>
      </c>
      <c r="AN5" t="s">
        <v>14</v>
      </c>
      <c r="AO5" t="s">
        <v>14</v>
      </c>
      <c r="AP5" t="s">
        <v>14</v>
      </c>
      <c r="AQ5" t="s">
        <v>14</v>
      </c>
    </row>
    <row r="6" spans="1:43" x14ac:dyDescent="0.25">
      <c r="A6" s="17"/>
      <c r="B6" s="55"/>
      <c r="C6" s="3"/>
      <c r="D6" s="21"/>
      <c r="E6" s="21"/>
      <c r="F6" s="21">
        <f>+E6-D6</f>
        <v>0</v>
      </c>
      <c r="G6" s="21"/>
      <c r="H6" s="21"/>
      <c r="I6" s="43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>
        <f t="shared" ref="AL6:AL24" si="1">SUM(I6:AK6)</f>
        <v>0</v>
      </c>
      <c r="AM6" s="21">
        <f t="shared" si="0"/>
        <v>0</v>
      </c>
    </row>
    <row r="7" spans="1:43" x14ac:dyDescent="0.25">
      <c r="A7" s="17"/>
      <c r="B7" s="55"/>
      <c r="C7" s="3"/>
      <c r="D7" s="21"/>
      <c r="E7" s="21"/>
      <c r="F7" s="21">
        <f>+E7-D7</f>
        <v>0</v>
      </c>
      <c r="G7" s="21">
        <f>+D7*0.15</f>
        <v>0</v>
      </c>
      <c r="H7" s="21">
        <f>+D7+G7</f>
        <v>0</v>
      </c>
      <c r="I7" s="49"/>
      <c r="J7" s="49"/>
      <c r="K7" s="49"/>
      <c r="L7" s="49"/>
      <c r="M7" s="49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>
        <f t="shared" si="1"/>
        <v>0</v>
      </c>
      <c r="AM7" s="21">
        <f t="shared" si="0"/>
        <v>0</v>
      </c>
      <c r="AN7" t="s">
        <v>14</v>
      </c>
      <c r="AO7" t="s">
        <v>14</v>
      </c>
      <c r="AP7" t="s">
        <v>14</v>
      </c>
      <c r="AQ7" t="s">
        <v>14</v>
      </c>
    </row>
    <row r="8" spans="1:43" x14ac:dyDescent="0.25">
      <c r="A8" s="18"/>
      <c r="B8" s="56"/>
      <c r="C8" s="2"/>
      <c r="D8" s="19"/>
      <c r="E8" s="19"/>
      <c r="F8" s="21">
        <f t="shared" ref="F8:F95" si="2">+E8-D8</f>
        <v>0</v>
      </c>
      <c r="G8" s="21">
        <f t="shared" ref="G8:G95" si="3">+D8*0.15</f>
        <v>0</v>
      </c>
      <c r="H8" s="21">
        <f t="shared" ref="H8:H95" si="4">+D8+G8</f>
        <v>0</v>
      </c>
      <c r="I8" s="50"/>
      <c r="J8" s="50"/>
      <c r="K8" s="50"/>
      <c r="L8" s="50"/>
      <c r="M8" s="5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1">
        <f t="shared" si="1"/>
        <v>0</v>
      </c>
      <c r="AM8" s="21">
        <f t="shared" si="0"/>
        <v>0</v>
      </c>
    </row>
    <row r="9" spans="1:43" x14ac:dyDescent="0.25">
      <c r="A9" s="18"/>
      <c r="B9" s="56"/>
      <c r="C9" s="2"/>
      <c r="D9" s="19"/>
      <c r="E9" s="19"/>
      <c r="F9" s="21">
        <f t="shared" si="2"/>
        <v>0</v>
      </c>
      <c r="G9" s="21"/>
      <c r="H9" s="21"/>
      <c r="I9" s="49"/>
      <c r="J9" s="49"/>
      <c r="K9" s="49"/>
      <c r="L9" s="49"/>
      <c r="M9" s="49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>
        <f t="shared" si="1"/>
        <v>0</v>
      </c>
      <c r="AM9" s="21">
        <f t="shared" si="0"/>
        <v>0</v>
      </c>
    </row>
    <row r="10" spans="1:43" x14ac:dyDescent="0.25">
      <c r="A10" s="18"/>
      <c r="B10" s="56"/>
      <c r="C10" s="2"/>
      <c r="D10" s="19"/>
      <c r="E10" s="19"/>
      <c r="F10" s="21">
        <f t="shared" si="2"/>
        <v>0</v>
      </c>
      <c r="G10" s="21"/>
      <c r="H10" s="21"/>
      <c r="I10" s="49"/>
      <c r="J10" s="49"/>
      <c r="K10" s="49"/>
      <c r="L10" s="49"/>
      <c r="M10" s="49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>
        <f t="shared" si="1"/>
        <v>0</v>
      </c>
      <c r="AM10" s="21">
        <f t="shared" si="0"/>
        <v>0</v>
      </c>
    </row>
    <row r="11" spans="1:43" x14ac:dyDescent="0.25">
      <c r="A11" s="18"/>
      <c r="B11" s="56"/>
      <c r="C11" s="2"/>
      <c r="D11" s="19"/>
      <c r="E11" s="19"/>
      <c r="F11" s="21">
        <f t="shared" si="2"/>
        <v>0</v>
      </c>
      <c r="G11" s="21"/>
      <c r="H11" s="21"/>
      <c r="I11" s="49"/>
      <c r="J11" s="49"/>
      <c r="K11" s="49"/>
      <c r="L11" s="49"/>
      <c r="M11" s="49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>
        <f t="shared" si="1"/>
        <v>0</v>
      </c>
      <c r="AM11" s="21">
        <f t="shared" si="0"/>
        <v>0</v>
      </c>
    </row>
    <row r="12" spans="1:43" x14ac:dyDescent="0.25">
      <c r="A12" s="18"/>
      <c r="B12" s="56"/>
      <c r="C12" s="2"/>
      <c r="D12" s="19"/>
      <c r="E12" s="19"/>
      <c r="F12" s="21">
        <f t="shared" si="2"/>
        <v>0</v>
      </c>
      <c r="G12" s="21"/>
      <c r="H12" s="21"/>
      <c r="I12" s="49"/>
      <c r="J12" s="49"/>
      <c r="K12" s="49"/>
      <c r="L12" s="49"/>
      <c r="M12" s="49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>
        <f t="shared" si="1"/>
        <v>0</v>
      </c>
      <c r="AM12" s="21">
        <f t="shared" si="0"/>
        <v>0</v>
      </c>
    </row>
    <row r="13" spans="1:43" x14ac:dyDescent="0.25">
      <c r="A13" s="18"/>
      <c r="B13" s="56"/>
      <c r="C13" s="2"/>
      <c r="D13" s="19"/>
      <c r="E13" s="19"/>
      <c r="F13" s="21">
        <f t="shared" si="2"/>
        <v>0</v>
      </c>
      <c r="G13" s="21">
        <f t="shared" si="3"/>
        <v>0</v>
      </c>
      <c r="H13" s="21">
        <f t="shared" si="4"/>
        <v>0</v>
      </c>
      <c r="I13" s="50"/>
      <c r="J13" s="50"/>
      <c r="K13" s="50"/>
      <c r="L13" s="50"/>
      <c r="M13" s="5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1">
        <f t="shared" si="1"/>
        <v>0</v>
      </c>
      <c r="AM13" s="21">
        <f t="shared" si="0"/>
        <v>0</v>
      </c>
    </row>
    <row r="14" spans="1:43" x14ac:dyDescent="0.25">
      <c r="A14" s="18"/>
      <c r="B14" s="56"/>
      <c r="C14" s="2"/>
      <c r="D14" s="19"/>
      <c r="E14" s="19"/>
      <c r="F14" s="21">
        <f t="shared" si="2"/>
        <v>0</v>
      </c>
      <c r="G14" s="21"/>
      <c r="H14" s="21"/>
      <c r="I14" s="49"/>
      <c r="J14" s="49"/>
      <c r="K14" s="49"/>
      <c r="L14" s="49"/>
      <c r="M14" s="49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>
        <f t="shared" si="1"/>
        <v>0</v>
      </c>
      <c r="AM14" s="21">
        <f t="shared" si="0"/>
        <v>0</v>
      </c>
    </row>
    <row r="15" spans="1:43" x14ac:dyDescent="0.25">
      <c r="A15" s="18"/>
      <c r="B15" s="56"/>
      <c r="C15" s="2"/>
      <c r="D15" s="19"/>
      <c r="E15" s="19"/>
      <c r="F15" s="21">
        <f t="shared" si="2"/>
        <v>0</v>
      </c>
      <c r="G15" s="21">
        <f t="shared" si="3"/>
        <v>0</v>
      </c>
      <c r="H15" s="21">
        <f t="shared" si="4"/>
        <v>0</v>
      </c>
      <c r="I15" s="50"/>
      <c r="J15" s="50"/>
      <c r="K15" s="50"/>
      <c r="L15" s="50"/>
      <c r="M15" s="50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1">
        <f t="shared" si="1"/>
        <v>0</v>
      </c>
      <c r="AM15" s="21">
        <f t="shared" si="0"/>
        <v>0</v>
      </c>
    </row>
    <row r="16" spans="1:43" x14ac:dyDescent="0.25">
      <c r="A16" s="18"/>
      <c r="B16" s="56"/>
      <c r="C16" s="2"/>
      <c r="D16" s="19"/>
      <c r="E16" s="19"/>
      <c r="F16" s="21">
        <f t="shared" si="2"/>
        <v>0</v>
      </c>
      <c r="G16" s="21">
        <f t="shared" si="3"/>
        <v>0</v>
      </c>
      <c r="H16" s="21">
        <f t="shared" si="4"/>
        <v>0</v>
      </c>
      <c r="I16" s="50"/>
      <c r="J16" s="50"/>
      <c r="K16" s="50"/>
      <c r="L16" s="50"/>
      <c r="M16" s="50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1">
        <f t="shared" si="1"/>
        <v>0</v>
      </c>
      <c r="AM16" s="21">
        <f t="shared" si="0"/>
        <v>0</v>
      </c>
    </row>
    <row r="17" spans="1:39" x14ac:dyDescent="0.25">
      <c r="A17" s="18"/>
      <c r="B17" s="56"/>
      <c r="C17" s="2"/>
      <c r="D17" s="19"/>
      <c r="E17" s="19"/>
      <c r="F17" s="21">
        <f t="shared" si="2"/>
        <v>0</v>
      </c>
      <c r="G17" s="21"/>
      <c r="H17" s="21"/>
      <c r="I17" s="49"/>
      <c r="J17" s="49"/>
      <c r="K17" s="49"/>
      <c r="L17" s="49"/>
      <c r="M17" s="49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>
        <f t="shared" si="1"/>
        <v>0</v>
      </c>
      <c r="AM17" s="21">
        <f t="shared" si="0"/>
        <v>0</v>
      </c>
    </row>
    <row r="18" spans="1:39" x14ac:dyDescent="0.25">
      <c r="A18" s="18"/>
      <c r="B18" s="56"/>
      <c r="C18" s="2"/>
      <c r="D18" s="19"/>
      <c r="E18" s="19"/>
      <c r="F18" s="21">
        <f t="shared" si="2"/>
        <v>0</v>
      </c>
      <c r="G18" s="21">
        <f t="shared" si="3"/>
        <v>0</v>
      </c>
      <c r="H18" s="21">
        <f t="shared" si="4"/>
        <v>0</v>
      </c>
      <c r="I18" s="50"/>
      <c r="J18" s="50"/>
      <c r="K18" s="50"/>
      <c r="L18" s="50"/>
      <c r="M18" s="50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1">
        <f t="shared" si="1"/>
        <v>0</v>
      </c>
      <c r="AM18" s="21">
        <f t="shared" si="0"/>
        <v>0</v>
      </c>
    </row>
    <row r="19" spans="1:39" x14ac:dyDescent="0.25">
      <c r="A19" s="18"/>
      <c r="B19" s="56"/>
      <c r="C19" s="2"/>
      <c r="D19" s="19"/>
      <c r="E19" s="19"/>
      <c r="F19" s="21">
        <f t="shared" si="2"/>
        <v>0</v>
      </c>
      <c r="G19" s="21"/>
      <c r="H19" s="21"/>
      <c r="I19" s="50"/>
      <c r="J19" s="50"/>
      <c r="K19" s="50"/>
      <c r="L19" s="50"/>
      <c r="M19" s="50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1">
        <f t="shared" si="1"/>
        <v>0</v>
      </c>
      <c r="AM19" s="21">
        <f t="shared" si="0"/>
        <v>0</v>
      </c>
    </row>
    <row r="20" spans="1:39" x14ac:dyDescent="0.25">
      <c r="A20" s="18"/>
      <c r="B20" s="56"/>
      <c r="C20" s="2"/>
      <c r="D20" s="19"/>
      <c r="E20" s="19"/>
      <c r="F20" s="21">
        <f t="shared" si="2"/>
        <v>0</v>
      </c>
      <c r="G20" s="21"/>
      <c r="H20" s="21"/>
      <c r="I20" s="49"/>
      <c r="J20" s="49"/>
      <c r="K20" s="49"/>
      <c r="L20" s="49"/>
      <c r="M20" s="49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>
        <f t="shared" si="1"/>
        <v>0</v>
      </c>
      <c r="AM20" s="21">
        <f t="shared" si="0"/>
        <v>0</v>
      </c>
    </row>
    <row r="21" spans="1:39" x14ac:dyDescent="0.25">
      <c r="A21" s="18"/>
      <c r="B21" s="56"/>
      <c r="C21" s="2"/>
      <c r="D21" s="19"/>
      <c r="E21" s="19"/>
      <c r="F21" s="21">
        <f t="shared" si="2"/>
        <v>0</v>
      </c>
      <c r="G21" s="21">
        <f t="shared" si="3"/>
        <v>0</v>
      </c>
      <c r="H21" s="21">
        <f t="shared" si="4"/>
        <v>0</v>
      </c>
      <c r="I21" s="50"/>
      <c r="J21" s="50"/>
      <c r="K21" s="50"/>
      <c r="L21" s="50"/>
      <c r="M21" s="50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1">
        <f t="shared" si="1"/>
        <v>0</v>
      </c>
      <c r="AM21" s="21">
        <f t="shared" si="0"/>
        <v>0</v>
      </c>
    </row>
    <row r="22" spans="1:39" x14ac:dyDescent="0.25">
      <c r="A22" s="18"/>
      <c r="B22" s="56"/>
      <c r="C22" s="2"/>
      <c r="D22" s="19"/>
      <c r="E22" s="19"/>
      <c r="F22" s="21">
        <f t="shared" si="2"/>
        <v>0</v>
      </c>
      <c r="G22" s="21">
        <f t="shared" si="3"/>
        <v>0</v>
      </c>
      <c r="H22" s="21">
        <f t="shared" si="4"/>
        <v>0</v>
      </c>
      <c r="I22" s="50"/>
      <c r="J22" s="50"/>
      <c r="K22" s="50"/>
      <c r="L22" s="50"/>
      <c r="M22" s="50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1">
        <f t="shared" si="1"/>
        <v>0</v>
      </c>
      <c r="AM22" s="21">
        <f t="shared" si="0"/>
        <v>0</v>
      </c>
    </row>
    <row r="23" spans="1:39" x14ac:dyDescent="0.25">
      <c r="A23" s="18"/>
      <c r="B23" s="56"/>
      <c r="C23" s="2"/>
      <c r="D23" s="19"/>
      <c r="E23" s="19"/>
      <c r="F23" s="21">
        <f t="shared" si="2"/>
        <v>0</v>
      </c>
      <c r="G23" s="21">
        <f t="shared" si="3"/>
        <v>0</v>
      </c>
      <c r="H23" s="21">
        <f t="shared" si="4"/>
        <v>0</v>
      </c>
      <c r="I23" s="50"/>
      <c r="J23" s="50"/>
      <c r="K23" s="50"/>
      <c r="L23" s="50"/>
      <c r="M23" s="50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1">
        <f t="shared" si="1"/>
        <v>0</v>
      </c>
      <c r="AM23" s="21">
        <f t="shared" si="0"/>
        <v>0</v>
      </c>
    </row>
    <row r="24" spans="1:39" ht="15.75" thickBot="1" x14ac:dyDescent="0.3">
      <c r="A24" s="44"/>
      <c r="B24" s="57"/>
      <c r="C24" s="45"/>
      <c r="D24" s="22"/>
      <c r="E24" s="22"/>
      <c r="F24" s="23">
        <f t="shared" si="2"/>
        <v>0</v>
      </c>
      <c r="G24" s="23">
        <f t="shared" si="3"/>
        <v>0</v>
      </c>
      <c r="H24" s="23">
        <f t="shared" si="4"/>
        <v>0</v>
      </c>
      <c r="I24" s="51"/>
      <c r="J24" s="51"/>
      <c r="K24" s="51"/>
      <c r="L24" s="51"/>
      <c r="M24" s="51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1">
        <f t="shared" si="1"/>
        <v>0</v>
      </c>
      <c r="AM24" s="23">
        <f t="shared" si="0"/>
        <v>0</v>
      </c>
    </row>
    <row r="25" spans="1:39" s="48" customFormat="1" ht="19.5" thickBot="1" x14ac:dyDescent="0.35">
      <c r="A25" s="67" t="s">
        <v>110</v>
      </c>
      <c r="B25" s="68"/>
      <c r="C25" s="69"/>
      <c r="D25" s="46">
        <f>SUM(D5:D24)</f>
        <v>0</v>
      </c>
      <c r="E25" s="46">
        <f>SUM(E5:E24)</f>
        <v>0</v>
      </c>
      <c r="F25" s="46">
        <f>SUM(F5:F24)</f>
        <v>0</v>
      </c>
      <c r="G25" s="46"/>
      <c r="H25" s="46"/>
      <c r="I25" s="46">
        <f>SUM(I5:I24)</f>
        <v>0</v>
      </c>
      <c r="J25" s="46"/>
      <c r="K25" s="46"/>
      <c r="L25" s="46"/>
      <c r="M25" s="46">
        <f>SUM(M5:M24)</f>
        <v>0</v>
      </c>
      <c r="N25" s="46"/>
      <c r="O25" s="46"/>
      <c r="P25" s="46"/>
      <c r="Q25" s="46">
        <f>SUM(Q5:Q24)</f>
        <v>0</v>
      </c>
      <c r="R25" s="46"/>
      <c r="S25" s="46"/>
      <c r="T25" s="46"/>
      <c r="U25" s="46">
        <f>SUM(U5:U24)</f>
        <v>0</v>
      </c>
      <c r="V25" s="46"/>
      <c r="W25" s="46"/>
      <c r="X25" s="46"/>
      <c r="Y25" s="46">
        <f>SUM(Y5:Y24)</f>
        <v>0</v>
      </c>
      <c r="Z25" s="46"/>
      <c r="AA25" s="46"/>
      <c r="AB25" s="46"/>
      <c r="AC25" s="46">
        <f>SUM(AC5:AC24)</f>
        <v>0</v>
      </c>
      <c r="AD25" s="46"/>
      <c r="AE25" s="46"/>
      <c r="AF25" s="46"/>
      <c r="AG25" s="46">
        <f>SUM(AG5:AG24)</f>
        <v>0</v>
      </c>
      <c r="AH25" s="46"/>
      <c r="AI25" s="46"/>
      <c r="AJ25" s="46"/>
      <c r="AK25" s="46">
        <f>SUM(AK5:AK24)</f>
        <v>0</v>
      </c>
      <c r="AL25" s="46">
        <f>SUM(AL5:AL24)</f>
        <v>0</v>
      </c>
      <c r="AM25" s="47"/>
    </row>
    <row r="26" spans="1:39" x14ac:dyDescent="0.25">
      <c r="A26" s="17"/>
      <c r="B26" s="55"/>
      <c r="C26" s="3"/>
      <c r="D26" s="19"/>
      <c r="E26" s="19"/>
      <c r="F26" s="21">
        <f t="shared" ref="F26" si="5">+E26-D26</f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>
        <f>SUM(I26:AK26)</f>
        <v>0</v>
      </c>
      <c r="AM26" s="21">
        <f>+AL26-E26</f>
        <v>0</v>
      </c>
    </row>
    <row r="27" spans="1:39" x14ac:dyDescent="0.25">
      <c r="A27" s="18"/>
      <c r="B27" s="56"/>
      <c r="C27" s="2"/>
      <c r="D27" s="19"/>
      <c r="E27" s="19"/>
      <c r="F27" s="21">
        <f t="shared" si="2"/>
        <v>0</v>
      </c>
      <c r="G27" s="21">
        <f t="shared" si="3"/>
        <v>0</v>
      </c>
      <c r="H27" s="21">
        <f t="shared" si="4"/>
        <v>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1">
        <f t="shared" ref="AL27:AL60" si="6">SUM(I27:AK27)</f>
        <v>0</v>
      </c>
      <c r="AM27" s="21">
        <f t="shared" ref="AM27:AM60" si="7">+AL27-E27</f>
        <v>0</v>
      </c>
    </row>
    <row r="28" spans="1:39" x14ac:dyDescent="0.25">
      <c r="A28" s="17"/>
      <c r="B28" s="55"/>
      <c r="C28" s="3"/>
      <c r="D28" s="19"/>
      <c r="E28" s="19"/>
      <c r="F28" s="21">
        <f t="shared" si="2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>
        <f t="shared" si="6"/>
        <v>0</v>
      </c>
      <c r="AM28" s="21">
        <f t="shared" si="7"/>
        <v>0</v>
      </c>
    </row>
    <row r="29" spans="1:39" x14ac:dyDescent="0.25">
      <c r="A29" s="18"/>
      <c r="B29" s="56"/>
      <c r="C29" s="2"/>
      <c r="D29" s="19"/>
      <c r="E29" s="19"/>
      <c r="F29" s="21">
        <f t="shared" si="2"/>
        <v>0</v>
      </c>
      <c r="G29" s="21">
        <f t="shared" si="3"/>
        <v>0</v>
      </c>
      <c r="H29" s="21">
        <f t="shared" si="4"/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50"/>
      <c r="AL29" s="21">
        <f t="shared" si="6"/>
        <v>0</v>
      </c>
      <c r="AM29" s="21">
        <f t="shared" si="7"/>
        <v>0</v>
      </c>
    </row>
    <row r="30" spans="1:39" x14ac:dyDescent="0.25">
      <c r="A30" s="18"/>
      <c r="B30" s="56"/>
      <c r="C30" s="2"/>
      <c r="D30" s="19"/>
      <c r="E30" s="19"/>
      <c r="F30" s="21">
        <f t="shared" si="2"/>
        <v>0</v>
      </c>
      <c r="G30" s="21">
        <f t="shared" si="3"/>
        <v>0</v>
      </c>
      <c r="H30" s="21">
        <f t="shared" si="4"/>
        <v>0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50"/>
      <c r="AL30" s="21">
        <f t="shared" si="6"/>
        <v>0</v>
      </c>
      <c r="AM30" s="21">
        <f t="shared" si="7"/>
        <v>0</v>
      </c>
    </row>
    <row r="31" spans="1:39" x14ac:dyDescent="0.25">
      <c r="A31" s="17"/>
      <c r="B31" s="55"/>
      <c r="C31" s="3"/>
      <c r="D31" s="19"/>
      <c r="E31" s="19"/>
      <c r="F31" s="21">
        <f t="shared" si="2"/>
        <v>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49"/>
      <c r="AL31" s="21">
        <f t="shared" si="6"/>
        <v>0</v>
      </c>
      <c r="AM31" s="21">
        <f t="shared" si="7"/>
        <v>0</v>
      </c>
    </row>
    <row r="32" spans="1:39" x14ac:dyDescent="0.25">
      <c r="A32" s="17"/>
      <c r="B32" s="55"/>
      <c r="C32" s="3"/>
      <c r="D32" s="19"/>
      <c r="E32" s="19"/>
      <c r="F32" s="21">
        <f t="shared" si="2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49"/>
      <c r="AL32" s="21">
        <f t="shared" si="6"/>
        <v>0</v>
      </c>
      <c r="AM32" s="21">
        <f t="shared" si="7"/>
        <v>0</v>
      </c>
    </row>
    <row r="33" spans="1:39" x14ac:dyDescent="0.25">
      <c r="A33" s="18"/>
      <c r="B33" s="56"/>
      <c r="C33" s="2"/>
      <c r="D33" s="19"/>
      <c r="E33" s="19"/>
      <c r="F33" s="21">
        <f t="shared" si="2"/>
        <v>0</v>
      </c>
      <c r="G33" s="21">
        <f t="shared" si="3"/>
        <v>0</v>
      </c>
      <c r="H33" s="21">
        <f t="shared" si="4"/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50"/>
      <c r="AL33" s="21">
        <f t="shared" si="6"/>
        <v>0</v>
      </c>
      <c r="AM33" s="21">
        <f t="shared" si="7"/>
        <v>0</v>
      </c>
    </row>
    <row r="34" spans="1:39" x14ac:dyDescent="0.25">
      <c r="A34" s="18"/>
      <c r="B34" s="56"/>
      <c r="C34" s="2"/>
      <c r="D34" s="19"/>
      <c r="E34" s="19"/>
      <c r="F34" s="21">
        <f t="shared" si="2"/>
        <v>0</v>
      </c>
      <c r="G34" s="21">
        <f t="shared" si="3"/>
        <v>0</v>
      </c>
      <c r="H34" s="21">
        <f t="shared" si="4"/>
        <v>0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50"/>
      <c r="AL34" s="21">
        <f t="shared" si="6"/>
        <v>0</v>
      </c>
      <c r="AM34" s="21">
        <f t="shared" si="7"/>
        <v>0</v>
      </c>
    </row>
    <row r="35" spans="1:39" x14ac:dyDescent="0.25">
      <c r="A35" s="18"/>
      <c r="B35" s="56"/>
      <c r="C35" s="2"/>
      <c r="D35" s="19"/>
      <c r="E35" s="19"/>
      <c r="F35" s="21">
        <f t="shared" si="2"/>
        <v>0</v>
      </c>
      <c r="G35" s="21">
        <f t="shared" si="3"/>
        <v>0</v>
      </c>
      <c r="H35" s="21">
        <f t="shared" si="4"/>
        <v>0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50"/>
      <c r="AL35" s="21">
        <f t="shared" si="6"/>
        <v>0</v>
      </c>
      <c r="AM35" s="21">
        <f t="shared" si="7"/>
        <v>0</v>
      </c>
    </row>
    <row r="36" spans="1:39" x14ac:dyDescent="0.25">
      <c r="A36" s="18"/>
      <c r="B36" s="56"/>
      <c r="C36" s="2"/>
      <c r="D36" s="19"/>
      <c r="E36" s="19"/>
      <c r="F36" s="21">
        <f t="shared" si="2"/>
        <v>0</v>
      </c>
      <c r="G36" s="21">
        <f t="shared" si="3"/>
        <v>0</v>
      </c>
      <c r="H36" s="21">
        <f t="shared" si="4"/>
        <v>0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50"/>
      <c r="AL36" s="21">
        <f t="shared" si="6"/>
        <v>0</v>
      </c>
      <c r="AM36" s="21">
        <f t="shared" si="7"/>
        <v>0</v>
      </c>
    </row>
    <row r="37" spans="1:39" x14ac:dyDescent="0.25">
      <c r="A37" s="18"/>
      <c r="B37" s="56"/>
      <c r="C37" s="2"/>
      <c r="D37" s="19"/>
      <c r="E37" s="19"/>
      <c r="F37" s="21">
        <f t="shared" si="2"/>
        <v>0</v>
      </c>
      <c r="G37" s="21">
        <f t="shared" si="3"/>
        <v>0</v>
      </c>
      <c r="H37" s="21">
        <f t="shared" si="4"/>
        <v>0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50"/>
      <c r="AL37" s="21">
        <f t="shared" si="6"/>
        <v>0</v>
      </c>
      <c r="AM37" s="21">
        <f t="shared" si="7"/>
        <v>0</v>
      </c>
    </row>
    <row r="38" spans="1:39" x14ac:dyDescent="0.25">
      <c r="A38" s="17"/>
      <c r="B38" s="55"/>
      <c r="C38" s="3"/>
      <c r="D38" s="19"/>
      <c r="E38" s="19"/>
      <c r="F38" s="21">
        <f t="shared" si="2"/>
        <v>0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49"/>
      <c r="AL38" s="21">
        <f t="shared" si="6"/>
        <v>0</v>
      </c>
      <c r="AM38" s="21">
        <f t="shared" si="7"/>
        <v>0</v>
      </c>
    </row>
    <row r="39" spans="1:39" x14ac:dyDescent="0.25">
      <c r="A39" s="18"/>
      <c r="B39" s="56"/>
      <c r="C39" s="2"/>
      <c r="D39" s="19"/>
      <c r="E39" s="19"/>
      <c r="F39" s="21">
        <f t="shared" si="2"/>
        <v>0</v>
      </c>
      <c r="G39" s="21">
        <f t="shared" si="3"/>
        <v>0</v>
      </c>
      <c r="H39" s="21">
        <f t="shared" si="4"/>
        <v>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50"/>
      <c r="AL39" s="21">
        <f t="shared" si="6"/>
        <v>0</v>
      </c>
      <c r="AM39" s="21">
        <f t="shared" si="7"/>
        <v>0</v>
      </c>
    </row>
    <row r="40" spans="1:39" x14ac:dyDescent="0.25">
      <c r="A40" s="18"/>
      <c r="B40" s="56"/>
      <c r="C40" s="2"/>
      <c r="D40" s="19"/>
      <c r="E40" s="19"/>
      <c r="F40" s="21">
        <f t="shared" si="2"/>
        <v>0</v>
      </c>
      <c r="G40" s="21">
        <f t="shared" si="3"/>
        <v>0</v>
      </c>
      <c r="H40" s="21">
        <f t="shared" si="4"/>
        <v>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50"/>
      <c r="AL40" s="21">
        <f t="shared" si="6"/>
        <v>0</v>
      </c>
      <c r="AM40" s="21">
        <f t="shared" si="7"/>
        <v>0</v>
      </c>
    </row>
    <row r="41" spans="1:39" x14ac:dyDescent="0.25">
      <c r="A41" s="17"/>
      <c r="B41" s="55"/>
      <c r="C41" s="3"/>
      <c r="D41" s="19"/>
      <c r="E41" s="19"/>
      <c r="F41" s="21">
        <f t="shared" si="2"/>
        <v>0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49"/>
      <c r="AL41" s="21">
        <f t="shared" si="6"/>
        <v>0</v>
      </c>
      <c r="AM41" s="21">
        <f t="shared" si="7"/>
        <v>0</v>
      </c>
    </row>
    <row r="42" spans="1:39" x14ac:dyDescent="0.25">
      <c r="A42" s="18"/>
      <c r="B42" s="56"/>
      <c r="C42" s="2"/>
      <c r="D42" s="19"/>
      <c r="E42" s="19"/>
      <c r="F42" s="21">
        <f t="shared" si="2"/>
        <v>0</v>
      </c>
      <c r="G42" s="21">
        <f t="shared" si="3"/>
        <v>0</v>
      </c>
      <c r="H42" s="21">
        <f t="shared" si="4"/>
        <v>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50"/>
      <c r="AL42" s="21">
        <f t="shared" si="6"/>
        <v>0</v>
      </c>
      <c r="AM42" s="21">
        <f t="shared" si="7"/>
        <v>0</v>
      </c>
    </row>
    <row r="43" spans="1:39" x14ac:dyDescent="0.25">
      <c r="A43" s="18"/>
      <c r="B43" s="56"/>
      <c r="C43" s="2"/>
      <c r="D43" s="19"/>
      <c r="E43" s="19"/>
      <c r="F43" s="21">
        <f t="shared" si="2"/>
        <v>0</v>
      </c>
      <c r="G43" s="21">
        <f t="shared" si="3"/>
        <v>0</v>
      </c>
      <c r="H43" s="21">
        <f t="shared" si="4"/>
        <v>0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50"/>
      <c r="AL43" s="21">
        <f t="shared" si="6"/>
        <v>0</v>
      </c>
      <c r="AM43" s="21">
        <f t="shared" si="7"/>
        <v>0</v>
      </c>
    </row>
    <row r="44" spans="1:39" x14ac:dyDescent="0.25">
      <c r="A44" s="17"/>
      <c r="B44" s="55"/>
      <c r="C44" s="3"/>
      <c r="D44" s="19"/>
      <c r="E44" s="19"/>
      <c r="F44" s="21">
        <f t="shared" si="2"/>
        <v>0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49"/>
      <c r="AL44" s="21">
        <f t="shared" si="6"/>
        <v>0</v>
      </c>
      <c r="AM44" s="21">
        <f t="shared" si="7"/>
        <v>0</v>
      </c>
    </row>
    <row r="45" spans="1:39" x14ac:dyDescent="0.25">
      <c r="A45" s="18"/>
      <c r="B45" s="56"/>
      <c r="C45" s="2"/>
      <c r="D45" s="19"/>
      <c r="E45" s="19"/>
      <c r="F45" s="21">
        <f t="shared" si="2"/>
        <v>0</v>
      </c>
      <c r="G45" s="21">
        <f t="shared" si="3"/>
        <v>0</v>
      </c>
      <c r="H45" s="21">
        <f t="shared" si="4"/>
        <v>0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50"/>
      <c r="AL45" s="21">
        <f t="shared" si="6"/>
        <v>0</v>
      </c>
      <c r="AM45" s="21">
        <f t="shared" si="7"/>
        <v>0</v>
      </c>
    </row>
    <row r="46" spans="1:39" x14ac:dyDescent="0.25">
      <c r="A46" s="18"/>
      <c r="B46" s="56"/>
      <c r="C46" s="2"/>
      <c r="D46" s="19"/>
      <c r="E46" s="19"/>
      <c r="F46" s="21">
        <f t="shared" si="2"/>
        <v>0</v>
      </c>
      <c r="G46" s="21">
        <f t="shared" si="3"/>
        <v>0</v>
      </c>
      <c r="H46" s="21">
        <f t="shared" si="4"/>
        <v>0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50"/>
      <c r="AL46" s="21">
        <f t="shared" si="6"/>
        <v>0</v>
      </c>
      <c r="AM46" s="21">
        <f t="shared" si="7"/>
        <v>0</v>
      </c>
    </row>
    <row r="47" spans="1:39" x14ac:dyDescent="0.25">
      <c r="A47" s="18"/>
      <c r="B47" s="56"/>
      <c r="C47" s="2"/>
      <c r="D47" s="19"/>
      <c r="E47" s="19"/>
      <c r="F47" s="21">
        <f t="shared" si="2"/>
        <v>0</v>
      </c>
      <c r="G47" s="21">
        <f t="shared" si="3"/>
        <v>0</v>
      </c>
      <c r="H47" s="21">
        <f t="shared" si="4"/>
        <v>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50"/>
      <c r="AL47" s="21">
        <f t="shared" si="6"/>
        <v>0</v>
      </c>
      <c r="AM47" s="21">
        <f t="shared" si="7"/>
        <v>0</v>
      </c>
    </row>
    <row r="48" spans="1:39" x14ac:dyDescent="0.25">
      <c r="A48" s="17"/>
      <c r="B48" s="55"/>
      <c r="C48" s="3"/>
      <c r="D48" s="19"/>
      <c r="E48" s="19"/>
      <c r="F48" s="21">
        <f t="shared" si="2"/>
        <v>0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49"/>
      <c r="AL48" s="21">
        <f t="shared" si="6"/>
        <v>0</v>
      </c>
      <c r="AM48" s="21">
        <f t="shared" si="7"/>
        <v>0</v>
      </c>
    </row>
    <row r="49" spans="1:39" x14ac:dyDescent="0.25">
      <c r="A49" s="18"/>
      <c r="B49" s="56"/>
      <c r="C49" s="2"/>
      <c r="D49" s="19"/>
      <c r="E49" s="19"/>
      <c r="F49" s="21">
        <f t="shared" si="2"/>
        <v>0</v>
      </c>
      <c r="G49" s="21">
        <f t="shared" si="3"/>
        <v>0</v>
      </c>
      <c r="H49" s="21">
        <f t="shared" si="4"/>
        <v>0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50"/>
      <c r="AL49" s="21">
        <f t="shared" si="6"/>
        <v>0</v>
      </c>
      <c r="AM49" s="21">
        <f t="shared" si="7"/>
        <v>0</v>
      </c>
    </row>
    <row r="50" spans="1:39" x14ac:dyDescent="0.25">
      <c r="A50" s="17"/>
      <c r="B50" s="55"/>
      <c r="C50" s="3"/>
      <c r="D50" s="19"/>
      <c r="E50" s="19"/>
      <c r="F50" s="21">
        <f t="shared" si="2"/>
        <v>0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49"/>
      <c r="AL50" s="21">
        <f t="shared" si="6"/>
        <v>0</v>
      </c>
      <c r="AM50" s="21">
        <f t="shared" si="7"/>
        <v>0</v>
      </c>
    </row>
    <row r="51" spans="1:39" x14ac:dyDescent="0.25">
      <c r="A51" s="17"/>
      <c r="B51" s="55"/>
      <c r="C51" s="3"/>
      <c r="D51" s="19"/>
      <c r="E51" s="19"/>
      <c r="F51" s="21">
        <f t="shared" si="2"/>
        <v>0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49"/>
      <c r="AL51" s="21">
        <f t="shared" si="6"/>
        <v>0</v>
      </c>
      <c r="AM51" s="21">
        <f t="shared" si="7"/>
        <v>0</v>
      </c>
    </row>
    <row r="52" spans="1:39" x14ac:dyDescent="0.25">
      <c r="A52" s="17"/>
      <c r="B52" s="55"/>
      <c r="C52" s="3"/>
      <c r="D52" s="19"/>
      <c r="E52" s="19"/>
      <c r="F52" s="21">
        <f t="shared" si="2"/>
        <v>0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49"/>
      <c r="AL52" s="21">
        <f t="shared" si="6"/>
        <v>0</v>
      </c>
      <c r="AM52" s="21">
        <f t="shared" si="7"/>
        <v>0</v>
      </c>
    </row>
    <row r="53" spans="1:39" x14ac:dyDescent="0.25">
      <c r="A53" s="17"/>
      <c r="B53" s="55"/>
      <c r="C53" s="3"/>
      <c r="D53" s="19"/>
      <c r="E53" s="19"/>
      <c r="F53" s="21">
        <f t="shared" si="2"/>
        <v>0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49"/>
      <c r="AL53" s="21">
        <f t="shared" si="6"/>
        <v>0</v>
      </c>
      <c r="AM53" s="21">
        <f t="shared" si="7"/>
        <v>0</v>
      </c>
    </row>
    <row r="54" spans="1:39" x14ac:dyDescent="0.25">
      <c r="A54" s="18"/>
      <c r="B54" s="56"/>
      <c r="C54" s="2"/>
      <c r="D54" s="19"/>
      <c r="E54" s="19"/>
      <c r="F54" s="21">
        <f t="shared" si="2"/>
        <v>0</v>
      </c>
      <c r="G54" s="21">
        <f t="shared" si="3"/>
        <v>0</v>
      </c>
      <c r="H54" s="21">
        <f t="shared" si="4"/>
        <v>0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50"/>
      <c r="AL54" s="21">
        <f t="shared" si="6"/>
        <v>0</v>
      </c>
      <c r="AM54" s="21">
        <f t="shared" si="7"/>
        <v>0</v>
      </c>
    </row>
    <row r="55" spans="1:39" x14ac:dyDescent="0.25">
      <c r="A55" s="18"/>
      <c r="B55" s="56"/>
      <c r="C55" s="2"/>
      <c r="D55" s="19"/>
      <c r="E55" s="19"/>
      <c r="F55" s="21">
        <f t="shared" si="2"/>
        <v>0</v>
      </c>
      <c r="G55" s="21">
        <f t="shared" si="3"/>
        <v>0</v>
      </c>
      <c r="H55" s="21">
        <f t="shared" si="4"/>
        <v>0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50"/>
      <c r="AL55" s="21">
        <f t="shared" si="6"/>
        <v>0</v>
      </c>
      <c r="AM55" s="21">
        <f t="shared" si="7"/>
        <v>0</v>
      </c>
    </row>
    <row r="56" spans="1:39" x14ac:dyDescent="0.25">
      <c r="A56" s="17"/>
      <c r="B56" s="55"/>
      <c r="C56" s="3"/>
      <c r="D56" s="19"/>
      <c r="E56" s="19"/>
      <c r="F56" s="21">
        <f t="shared" si="2"/>
        <v>0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49"/>
      <c r="AL56" s="21">
        <f t="shared" si="6"/>
        <v>0</v>
      </c>
      <c r="AM56" s="21">
        <f t="shared" si="7"/>
        <v>0</v>
      </c>
    </row>
    <row r="57" spans="1:39" x14ac:dyDescent="0.25">
      <c r="A57" s="17"/>
      <c r="B57" s="55"/>
      <c r="C57" s="3"/>
      <c r="D57" s="19"/>
      <c r="E57" s="19"/>
      <c r="F57" s="21">
        <f t="shared" si="2"/>
        <v>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49"/>
      <c r="AL57" s="21">
        <f t="shared" si="6"/>
        <v>0</v>
      </c>
      <c r="AM57" s="21">
        <f t="shared" si="7"/>
        <v>0</v>
      </c>
    </row>
    <row r="58" spans="1:39" x14ac:dyDescent="0.25">
      <c r="A58" s="17"/>
      <c r="B58" s="55"/>
      <c r="C58" s="3"/>
      <c r="D58" s="19"/>
      <c r="E58" s="19"/>
      <c r="F58" s="21">
        <f t="shared" si="2"/>
        <v>0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49"/>
      <c r="AL58" s="21">
        <f t="shared" si="6"/>
        <v>0</v>
      </c>
      <c r="AM58" s="21">
        <f t="shared" si="7"/>
        <v>0</v>
      </c>
    </row>
    <row r="59" spans="1:39" x14ac:dyDescent="0.25">
      <c r="A59" s="17"/>
      <c r="B59" s="55"/>
      <c r="C59" s="3"/>
      <c r="D59" s="19"/>
      <c r="E59" s="19"/>
      <c r="F59" s="21">
        <f t="shared" si="2"/>
        <v>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49"/>
      <c r="AL59" s="21">
        <f t="shared" si="6"/>
        <v>0</v>
      </c>
      <c r="AM59" s="21">
        <f t="shared" si="7"/>
        <v>0</v>
      </c>
    </row>
    <row r="60" spans="1:39" ht="15.75" thickBot="1" x14ac:dyDescent="0.3">
      <c r="A60" s="17"/>
      <c r="B60" s="55"/>
      <c r="C60" s="3"/>
      <c r="D60" s="19"/>
      <c r="E60" s="19"/>
      <c r="F60" s="21">
        <f t="shared" si="2"/>
        <v>0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>
        <f t="shared" si="6"/>
        <v>0</v>
      </c>
      <c r="AM60" s="21">
        <f t="shared" si="7"/>
        <v>0</v>
      </c>
    </row>
    <row r="61" spans="1:39" s="48" customFormat="1" ht="19.5" thickBot="1" x14ac:dyDescent="0.35">
      <c r="A61" s="67" t="s">
        <v>110</v>
      </c>
      <c r="B61" s="68"/>
      <c r="C61" s="69"/>
      <c r="D61" s="46">
        <f>SUM(D27:D60)</f>
        <v>0</v>
      </c>
      <c r="E61" s="46">
        <f>SUM(E27:E60)</f>
        <v>0</v>
      </c>
      <c r="F61" s="46">
        <f>SUM(F27:F60)</f>
        <v>0</v>
      </c>
      <c r="G61" s="46"/>
      <c r="H61" s="46"/>
      <c r="I61" s="46"/>
      <c r="J61" s="46"/>
      <c r="K61" s="46"/>
      <c r="L61" s="46"/>
      <c r="M61" s="46">
        <f>SUM(M27:M60)</f>
        <v>0</v>
      </c>
      <c r="N61" s="46"/>
      <c r="O61" s="46"/>
      <c r="P61" s="46"/>
      <c r="Q61" s="46">
        <f>SUM(Q27:Q60)</f>
        <v>0</v>
      </c>
      <c r="R61" s="46"/>
      <c r="S61" s="46"/>
      <c r="T61" s="46"/>
      <c r="U61" s="46">
        <f>SUM(U27:U60)</f>
        <v>0</v>
      </c>
      <c r="V61" s="46"/>
      <c r="W61" s="46"/>
      <c r="X61" s="46"/>
      <c r="Y61" s="46">
        <f>SUM(Y27:Y60)</f>
        <v>0</v>
      </c>
      <c r="Z61" s="46"/>
      <c r="AA61" s="46"/>
      <c r="AB61" s="46"/>
      <c r="AC61" s="46">
        <f>SUM(AC27:AC60)</f>
        <v>0</v>
      </c>
      <c r="AD61" s="46"/>
      <c r="AE61" s="46"/>
      <c r="AF61" s="46"/>
      <c r="AG61" s="46">
        <f>SUM(AG27:AG60)</f>
        <v>0</v>
      </c>
      <c r="AH61" s="46"/>
      <c r="AI61" s="46"/>
      <c r="AJ61" s="46">
        <f>SUM(AJ27:AJ60)</f>
        <v>0</v>
      </c>
      <c r="AK61" s="46">
        <f>SUM(AK26:AK60)</f>
        <v>0</v>
      </c>
      <c r="AL61" s="46">
        <f>SUM(AL27:AL60)</f>
        <v>0</v>
      </c>
      <c r="AM61" s="47"/>
    </row>
    <row r="62" spans="1:39" x14ac:dyDescent="0.25">
      <c r="A62" s="17"/>
      <c r="B62" s="55"/>
      <c r="C62" s="3"/>
      <c r="D62" s="21"/>
      <c r="E62" s="21"/>
      <c r="F62" s="21">
        <f t="shared" si="2"/>
        <v>0</v>
      </c>
      <c r="G62" s="21">
        <f t="shared" si="3"/>
        <v>0</v>
      </c>
      <c r="H62" s="21">
        <f t="shared" si="4"/>
        <v>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>
        <f>SUM(I62:AK62)</f>
        <v>0</v>
      </c>
      <c r="AM62" s="21">
        <f>+AL62-E62</f>
        <v>0</v>
      </c>
    </row>
    <row r="63" spans="1:39" ht="14.25" customHeight="1" x14ac:dyDescent="0.25">
      <c r="A63" s="18"/>
      <c r="B63" s="56"/>
      <c r="C63" s="2"/>
      <c r="D63" s="19"/>
      <c r="E63" s="19"/>
      <c r="F63" s="21">
        <f t="shared" si="2"/>
        <v>0</v>
      </c>
      <c r="G63" s="21">
        <f t="shared" si="3"/>
        <v>0</v>
      </c>
      <c r="H63" s="21">
        <f t="shared" si="4"/>
        <v>0</v>
      </c>
      <c r="I63" s="5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1">
        <f t="shared" ref="AL63:AL95" si="8">SUM(I63:AK63)</f>
        <v>0</v>
      </c>
      <c r="AM63" s="21">
        <f t="shared" ref="AM63:AM95" si="9">+AL63-E63</f>
        <v>0</v>
      </c>
    </row>
    <row r="64" spans="1:39" x14ac:dyDescent="0.25">
      <c r="A64" s="18"/>
      <c r="B64" s="56"/>
      <c r="C64" s="2"/>
      <c r="D64" s="19"/>
      <c r="E64" s="19"/>
      <c r="F64" s="21">
        <f t="shared" si="2"/>
        <v>0</v>
      </c>
      <c r="G64" s="21">
        <f t="shared" si="3"/>
        <v>0</v>
      </c>
      <c r="H64" s="21">
        <f t="shared" si="4"/>
        <v>0</v>
      </c>
      <c r="I64" s="5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1">
        <f t="shared" si="8"/>
        <v>0</v>
      </c>
      <c r="AM64" s="21">
        <f t="shared" si="9"/>
        <v>0</v>
      </c>
    </row>
    <row r="65" spans="1:39" x14ac:dyDescent="0.25">
      <c r="A65" s="18"/>
      <c r="B65" s="56"/>
      <c r="C65" s="2"/>
      <c r="D65" s="19"/>
      <c r="E65" s="19"/>
      <c r="F65" s="21">
        <f t="shared" si="2"/>
        <v>0</v>
      </c>
      <c r="G65" s="21">
        <f t="shared" si="3"/>
        <v>0</v>
      </c>
      <c r="H65" s="21">
        <f t="shared" si="4"/>
        <v>0</v>
      </c>
      <c r="I65" s="5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1">
        <f t="shared" si="8"/>
        <v>0</v>
      </c>
      <c r="AM65" s="21">
        <f t="shared" si="9"/>
        <v>0</v>
      </c>
    </row>
    <row r="66" spans="1:39" x14ac:dyDescent="0.25">
      <c r="A66" s="18"/>
      <c r="B66" s="56"/>
      <c r="C66" s="2"/>
      <c r="D66" s="19"/>
      <c r="E66" s="19"/>
      <c r="F66" s="21">
        <f t="shared" si="2"/>
        <v>0</v>
      </c>
      <c r="G66" s="21">
        <f t="shared" si="3"/>
        <v>0</v>
      </c>
      <c r="H66" s="21">
        <f t="shared" si="4"/>
        <v>0</v>
      </c>
      <c r="I66" s="5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1">
        <f t="shared" si="8"/>
        <v>0</v>
      </c>
      <c r="AM66" s="21">
        <f t="shared" si="9"/>
        <v>0</v>
      </c>
    </row>
    <row r="67" spans="1:39" x14ac:dyDescent="0.25">
      <c r="A67" s="18"/>
      <c r="B67" s="56"/>
      <c r="C67" s="2"/>
      <c r="D67" s="19"/>
      <c r="E67" s="19"/>
      <c r="F67" s="21">
        <f t="shared" si="2"/>
        <v>0</v>
      </c>
      <c r="G67" s="21">
        <f t="shared" si="3"/>
        <v>0</v>
      </c>
      <c r="H67" s="21">
        <f t="shared" si="4"/>
        <v>0</v>
      </c>
      <c r="I67" s="5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21">
        <f t="shared" si="8"/>
        <v>0</v>
      </c>
      <c r="AM67" s="21">
        <f t="shared" si="9"/>
        <v>0</v>
      </c>
    </row>
    <row r="68" spans="1:39" x14ac:dyDescent="0.25">
      <c r="A68" s="18"/>
      <c r="B68" s="56"/>
      <c r="C68" s="2"/>
      <c r="D68" s="19"/>
      <c r="E68" s="19"/>
      <c r="F68" s="21">
        <f t="shared" si="2"/>
        <v>0</v>
      </c>
      <c r="G68" s="21">
        <f t="shared" si="3"/>
        <v>0</v>
      </c>
      <c r="H68" s="21">
        <f t="shared" si="4"/>
        <v>0</v>
      </c>
      <c r="I68" s="5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1">
        <f t="shared" si="8"/>
        <v>0</v>
      </c>
      <c r="AM68" s="21">
        <f t="shared" si="9"/>
        <v>0</v>
      </c>
    </row>
    <row r="69" spans="1:39" ht="14.25" customHeight="1" x14ac:dyDescent="0.25">
      <c r="A69" s="18"/>
      <c r="B69" s="56"/>
      <c r="C69" s="2"/>
      <c r="D69" s="19"/>
      <c r="E69" s="19"/>
      <c r="F69" s="21">
        <f t="shared" si="2"/>
        <v>0</v>
      </c>
      <c r="G69" s="21">
        <f t="shared" si="3"/>
        <v>0</v>
      </c>
      <c r="H69" s="21">
        <f t="shared" si="4"/>
        <v>0</v>
      </c>
      <c r="I69" s="5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1">
        <f t="shared" si="8"/>
        <v>0</v>
      </c>
      <c r="AM69" s="21">
        <f t="shared" si="9"/>
        <v>0</v>
      </c>
    </row>
    <row r="70" spans="1:39" ht="14.25" customHeight="1" x14ac:dyDescent="0.25">
      <c r="A70" s="18"/>
      <c r="B70" s="56"/>
      <c r="C70" s="2"/>
      <c r="D70" s="19"/>
      <c r="E70" s="19"/>
      <c r="F70" s="21">
        <f t="shared" si="2"/>
        <v>0</v>
      </c>
      <c r="G70" s="21">
        <f t="shared" si="3"/>
        <v>0</v>
      </c>
      <c r="H70" s="21">
        <f t="shared" si="4"/>
        <v>0</v>
      </c>
      <c r="I70" s="5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1">
        <f t="shared" si="8"/>
        <v>0</v>
      </c>
      <c r="AM70" s="21">
        <f t="shared" si="9"/>
        <v>0</v>
      </c>
    </row>
    <row r="71" spans="1:39" ht="14.25" customHeight="1" x14ac:dyDescent="0.25">
      <c r="A71" s="18"/>
      <c r="B71" s="56"/>
      <c r="C71" s="2"/>
      <c r="D71" s="19"/>
      <c r="E71" s="19"/>
      <c r="F71" s="21">
        <f t="shared" si="2"/>
        <v>0</v>
      </c>
      <c r="G71" s="21">
        <f t="shared" si="3"/>
        <v>0</v>
      </c>
      <c r="H71" s="21">
        <f t="shared" si="4"/>
        <v>0</v>
      </c>
      <c r="I71" s="5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1">
        <f t="shared" si="8"/>
        <v>0</v>
      </c>
      <c r="AM71" s="21">
        <f t="shared" si="9"/>
        <v>0</v>
      </c>
    </row>
    <row r="72" spans="1:39" ht="14.25" customHeight="1" x14ac:dyDescent="0.25">
      <c r="A72" s="18"/>
      <c r="B72" s="56"/>
      <c r="C72" s="2"/>
      <c r="D72" s="19"/>
      <c r="E72" s="19"/>
      <c r="F72" s="21">
        <f t="shared" si="2"/>
        <v>0</v>
      </c>
      <c r="G72" s="21">
        <f t="shared" si="3"/>
        <v>0</v>
      </c>
      <c r="H72" s="21">
        <f t="shared" si="4"/>
        <v>0</v>
      </c>
      <c r="I72" s="5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1">
        <f t="shared" si="8"/>
        <v>0</v>
      </c>
      <c r="AM72" s="21">
        <f t="shared" si="9"/>
        <v>0</v>
      </c>
    </row>
    <row r="73" spans="1:39" x14ac:dyDescent="0.25">
      <c r="A73" s="18"/>
      <c r="B73" s="56"/>
      <c r="C73" s="2"/>
      <c r="D73" s="19"/>
      <c r="E73" s="19"/>
      <c r="F73" s="21">
        <f t="shared" si="2"/>
        <v>0</v>
      </c>
      <c r="G73" s="21">
        <f t="shared" si="3"/>
        <v>0</v>
      </c>
      <c r="H73" s="21">
        <f t="shared" si="4"/>
        <v>0</v>
      </c>
      <c r="I73" s="5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1">
        <f t="shared" si="8"/>
        <v>0</v>
      </c>
      <c r="AM73" s="21">
        <f t="shared" si="9"/>
        <v>0</v>
      </c>
    </row>
    <row r="74" spans="1:39" x14ac:dyDescent="0.25">
      <c r="A74" s="18"/>
      <c r="B74" s="56"/>
      <c r="C74" s="2"/>
      <c r="D74" s="19"/>
      <c r="E74" s="19"/>
      <c r="F74" s="21">
        <f t="shared" si="2"/>
        <v>0</v>
      </c>
      <c r="G74" s="21">
        <f t="shared" si="3"/>
        <v>0</v>
      </c>
      <c r="H74" s="21">
        <f t="shared" si="4"/>
        <v>0</v>
      </c>
      <c r="I74" s="5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1">
        <f t="shared" si="8"/>
        <v>0</v>
      </c>
      <c r="AM74" s="21">
        <f t="shared" si="9"/>
        <v>0</v>
      </c>
    </row>
    <row r="75" spans="1:39" ht="14.25" customHeight="1" x14ac:dyDescent="0.25">
      <c r="A75" s="18"/>
      <c r="B75" s="56"/>
      <c r="C75" s="2"/>
      <c r="D75" s="19"/>
      <c r="E75" s="19"/>
      <c r="F75" s="21">
        <f t="shared" si="2"/>
        <v>0</v>
      </c>
      <c r="G75" s="21">
        <f t="shared" si="3"/>
        <v>0</v>
      </c>
      <c r="H75" s="21">
        <f t="shared" si="4"/>
        <v>0</v>
      </c>
      <c r="I75" s="5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1">
        <f t="shared" si="8"/>
        <v>0</v>
      </c>
      <c r="AM75" s="21">
        <f t="shared" si="9"/>
        <v>0</v>
      </c>
    </row>
    <row r="76" spans="1:39" x14ac:dyDescent="0.25">
      <c r="A76" s="18"/>
      <c r="B76" s="56"/>
      <c r="C76" s="2"/>
      <c r="D76" s="19"/>
      <c r="E76" s="19"/>
      <c r="F76" s="21">
        <f t="shared" si="2"/>
        <v>0</v>
      </c>
      <c r="G76" s="21">
        <f t="shared" si="3"/>
        <v>0</v>
      </c>
      <c r="H76" s="21">
        <f t="shared" si="4"/>
        <v>0</v>
      </c>
      <c r="I76" s="5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1">
        <f t="shared" si="8"/>
        <v>0</v>
      </c>
      <c r="AM76" s="21">
        <f t="shared" si="9"/>
        <v>0</v>
      </c>
    </row>
    <row r="77" spans="1:39" x14ac:dyDescent="0.25">
      <c r="A77" s="18"/>
      <c r="B77" s="56"/>
      <c r="C77" s="2"/>
      <c r="D77" s="19"/>
      <c r="E77" s="19"/>
      <c r="F77" s="21">
        <f t="shared" si="2"/>
        <v>0</v>
      </c>
      <c r="G77" s="21">
        <f t="shared" si="3"/>
        <v>0</v>
      </c>
      <c r="H77" s="21">
        <f t="shared" si="4"/>
        <v>0</v>
      </c>
      <c r="I77" s="5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1">
        <f t="shared" si="8"/>
        <v>0</v>
      </c>
      <c r="AM77" s="21">
        <f t="shared" si="9"/>
        <v>0</v>
      </c>
    </row>
    <row r="78" spans="1:39" x14ac:dyDescent="0.25">
      <c r="A78" s="18"/>
      <c r="B78" s="56"/>
      <c r="C78" s="2"/>
      <c r="D78" s="19"/>
      <c r="E78" s="19"/>
      <c r="F78" s="21">
        <f t="shared" si="2"/>
        <v>0</v>
      </c>
      <c r="G78" s="21">
        <f t="shared" si="3"/>
        <v>0</v>
      </c>
      <c r="H78" s="21">
        <f t="shared" si="4"/>
        <v>0</v>
      </c>
      <c r="I78" s="5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1">
        <f t="shared" si="8"/>
        <v>0</v>
      </c>
      <c r="AM78" s="21">
        <f t="shared" si="9"/>
        <v>0</v>
      </c>
    </row>
    <row r="79" spans="1:39" x14ac:dyDescent="0.25">
      <c r="A79" s="18"/>
      <c r="B79" s="56"/>
      <c r="C79" s="2"/>
      <c r="D79" s="19"/>
      <c r="E79" s="19"/>
      <c r="F79" s="21">
        <f t="shared" si="2"/>
        <v>0</v>
      </c>
      <c r="G79" s="21">
        <f t="shared" si="3"/>
        <v>0</v>
      </c>
      <c r="H79" s="21">
        <f t="shared" si="4"/>
        <v>0</v>
      </c>
      <c r="I79" s="5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1">
        <f t="shared" si="8"/>
        <v>0</v>
      </c>
      <c r="AM79" s="21">
        <f t="shared" si="9"/>
        <v>0</v>
      </c>
    </row>
    <row r="80" spans="1:39" x14ac:dyDescent="0.25">
      <c r="A80" s="18"/>
      <c r="B80" s="56"/>
      <c r="C80" s="2"/>
      <c r="D80" s="19"/>
      <c r="E80" s="19"/>
      <c r="F80" s="21">
        <f t="shared" si="2"/>
        <v>0</v>
      </c>
      <c r="G80" s="21">
        <f t="shared" si="3"/>
        <v>0</v>
      </c>
      <c r="H80" s="21">
        <f t="shared" si="4"/>
        <v>0</v>
      </c>
      <c r="I80" s="5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1">
        <f t="shared" si="8"/>
        <v>0</v>
      </c>
      <c r="AM80" s="21">
        <f t="shared" si="9"/>
        <v>0</v>
      </c>
    </row>
    <row r="81" spans="1:39" x14ac:dyDescent="0.25">
      <c r="A81" s="18"/>
      <c r="B81" s="56"/>
      <c r="C81" s="2"/>
      <c r="D81" s="19"/>
      <c r="E81" s="19"/>
      <c r="F81" s="21">
        <f t="shared" si="2"/>
        <v>0</v>
      </c>
      <c r="G81" s="21">
        <f t="shared" si="3"/>
        <v>0</v>
      </c>
      <c r="H81" s="21">
        <f t="shared" si="4"/>
        <v>0</v>
      </c>
      <c r="I81" s="5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21">
        <f t="shared" si="8"/>
        <v>0</v>
      </c>
      <c r="AM81" s="21">
        <f t="shared" si="9"/>
        <v>0</v>
      </c>
    </row>
    <row r="82" spans="1:39" x14ac:dyDescent="0.25">
      <c r="A82" s="18"/>
      <c r="B82" s="56"/>
      <c r="C82" s="2"/>
      <c r="D82" s="19"/>
      <c r="E82" s="19"/>
      <c r="F82" s="21">
        <f t="shared" si="2"/>
        <v>0</v>
      </c>
      <c r="G82" s="21">
        <f t="shared" si="3"/>
        <v>0</v>
      </c>
      <c r="H82" s="21">
        <f t="shared" si="4"/>
        <v>0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21">
        <f t="shared" si="8"/>
        <v>0</v>
      </c>
      <c r="AM82" s="21">
        <f t="shared" si="9"/>
        <v>0</v>
      </c>
    </row>
    <row r="83" spans="1:39" x14ac:dyDescent="0.25">
      <c r="A83" s="18"/>
      <c r="B83" s="56"/>
      <c r="C83" s="2"/>
      <c r="D83" s="19"/>
      <c r="E83" s="19"/>
      <c r="F83" s="21">
        <f t="shared" si="2"/>
        <v>0</v>
      </c>
      <c r="G83" s="21">
        <f t="shared" si="3"/>
        <v>0</v>
      </c>
      <c r="H83" s="21">
        <f t="shared" si="4"/>
        <v>0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1">
        <f t="shared" si="8"/>
        <v>0</v>
      </c>
      <c r="AM83" s="21">
        <f t="shared" si="9"/>
        <v>0</v>
      </c>
    </row>
    <row r="84" spans="1:39" x14ac:dyDescent="0.25">
      <c r="A84" s="18"/>
      <c r="B84" s="56"/>
      <c r="C84" s="2"/>
      <c r="D84" s="19"/>
      <c r="E84" s="19"/>
      <c r="F84" s="21">
        <f t="shared" si="2"/>
        <v>0</v>
      </c>
      <c r="G84" s="21">
        <f t="shared" si="3"/>
        <v>0</v>
      </c>
      <c r="H84" s="21">
        <f t="shared" si="4"/>
        <v>0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21">
        <f t="shared" si="8"/>
        <v>0</v>
      </c>
      <c r="AM84" s="21">
        <f t="shared" si="9"/>
        <v>0</v>
      </c>
    </row>
    <row r="85" spans="1:39" ht="14.25" customHeight="1" x14ac:dyDescent="0.25">
      <c r="A85" s="18"/>
      <c r="B85" s="56"/>
      <c r="C85" s="2"/>
      <c r="D85" s="19"/>
      <c r="E85" s="19"/>
      <c r="F85" s="21">
        <f t="shared" si="2"/>
        <v>0</v>
      </c>
      <c r="G85" s="21">
        <f t="shared" si="3"/>
        <v>0</v>
      </c>
      <c r="H85" s="21">
        <f t="shared" si="4"/>
        <v>0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1">
        <f t="shared" si="8"/>
        <v>0</v>
      </c>
      <c r="AM85" s="21">
        <f t="shared" si="9"/>
        <v>0</v>
      </c>
    </row>
    <row r="86" spans="1:39" ht="14.25" customHeight="1" x14ac:dyDescent="0.25">
      <c r="A86" s="18"/>
      <c r="B86" s="56"/>
      <c r="C86" s="2"/>
      <c r="D86" s="19"/>
      <c r="E86" s="19"/>
      <c r="F86" s="21">
        <f t="shared" si="2"/>
        <v>0</v>
      </c>
      <c r="G86" s="21">
        <f t="shared" si="3"/>
        <v>0</v>
      </c>
      <c r="H86" s="21">
        <f t="shared" si="4"/>
        <v>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21">
        <f t="shared" si="8"/>
        <v>0</v>
      </c>
      <c r="AM86" s="21">
        <f t="shared" si="9"/>
        <v>0</v>
      </c>
    </row>
    <row r="87" spans="1:39" ht="14.25" customHeight="1" x14ac:dyDescent="0.25">
      <c r="A87" s="18"/>
      <c r="B87" s="56"/>
      <c r="C87" s="2"/>
      <c r="D87" s="19"/>
      <c r="E87" s="19"/>
      <c r="F87" s="21">
        <f t="shared" si="2"/>
        <v>0</v>
      </c>
      <c r="G87" s="21">
        <f t="shared" si="3"/>
        <v>0</v>
      </c>
      <c r="H87" s="21">
        <f t="shared" si="4"/>
        <v>0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21">
        <f t="shared" si="8"/>
        <v>0</v>
      </c>
      <c r="AM87" s="21">
        <f t="shared" si="9"/>
        <v>0</v>
      </c>
    </row>
    <row r="88" spans="1:39" x14ac:dyDescent="0.25">
      <c r="A88" s="18"/>
      <c r="B88" s="56"/>
      <c r="C88" s="2"/>
      <c r="D88" s="19"/>
      <c r="E88" s="19"/>
      <c r="F88" s="21">
        <f t="shared" si="2"/>
        <v>0</v>
      </c>
      <c r="G88" s="21">
        <f t="shared" si="3"/>
        <v>0</v>
      </c>
      <c r="H88" s="21">
        <f t="shared" si="4"/>
        <v>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21">
        <f t="shared" si="8"/>
        <v>0</v>
      </c>
      <c r="AM88" s="21">
        <f t="shared" si="9"/>
        <v>0</v>
      </c>
    </row>
    <row r="89" spans="1:39" x14ac:dyDescent="0.25">
      <c r="A89" s="18"/>
      <c r="B89" s="56"/>
      <c r="C89" s="2"/>
      <c r="D89" s="19"/>
      <c r="E89" s="19"/>
      <c r="F89" s="21">
        <f t="shared" si="2"/>
        <v>0</v>
      </c>
      <c r="G89" s="21">
        <f t="shared" si="3"/>
        <v>0</v>
      </c>
      <c r="H89" s="21">
        <f t="shared" si="4"/>
        <v>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1">
        <f t="shared" si="8"/>
        <v>0</v>
      </c>
      <c r="AM89" s="21">
        <f t="shared" si="9"/>
        <v>0</v>
      </c>
    </row>
    <row r="90" spans="1:39" x14ac:dyDescent="0.25">
      <c r="A90" s="18"/>
      <c r="B90" s="56"/>
      <c r="C90" s="2"/>
      <c r="D90" s="19"/>
      <c r="E90" s="19"/>
      <c r="F90" s="21">
        <f t="shared" si="2"/>
        <v>0</v>
      </c>
      <c r="G90" s="21">
        <f t="shared" si="3"/>
        <v>0</v>
      </c>
      <c r="H90" s="21">
        <f t="shared" si="4"/>
        <v>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21">
        <f t="shared" si="8"/>
        <v>0</v>
      </c>
      <c r="AM90" s="21">
        <f t="shared" si="9"/>
        <v>0</v>
      </c>
    </row>
    <row r="91" spans="1:39" x14ac:dyDescent="0.25">
      <c r="A91" s="18"/>
      <c r="B91" s="56"/>
      <c r="C91" s="2"/>
      <c r="D91" s="19"/>
      <c r="E91" s="19"/>
      <c r="F91" s="21">
        <f t="shared" si="2"/>
        <v>0</v>
      </c>
      <c r="G91" s="21">
        <f t="shared" si="3"/>
        <v>0</v>
      </c>
      <c r="H91" s="21">
        <f t="shared" si="4"/>
        <v>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21">
        <f t="shared" si="8"/>
        <v>0</v>
      </c>
      <c r="AM91" s="21">
        <f t="shared" si="9"/>
        <v>0</v>
      </c>
    </row>
    <row r="92" spans="1:39" x14ac:dyDescent="0.25">
      <c r="A92" s="18"/>
      <c r="B92" s="56"/>
      <c r="C92" s="2"/>
      <c r="D92" s="19"/>
      <c r="E92" s="19"/>
      <c r="F92" s="21">
        <f t="shared" si="2"/>
        <v>0</v>
      </c>
      <c r="G92" s="21">
        <f t="shared" si="3"/>
        <v>0</v>
      </c>
      <c r="H92" s="21">
        <f t="shared" si="4"/>
        <v>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21">
        <f t="shared" si="8"/>
        <v>0</v>
      </c>
      <c r="AM92" s="21">
        <f t="shared" si="9"/>
        <v>0</v>
      </c>
    </row>
    <row r="93" spans="1:39" x14ac:dyDescent="0.25">
      <c r="A93" s="18"/>
      <c r="B93" s="56"/>
      <c r="C93" s="2"/>
      <c r="D93" s="19"/>
      <c r="E93" s="19"/>
      <c r="F93" s="21">
        <f t="shared" si="2"/>
        <v>0</v>
      </c>
      <c r="G93" s="21">
        <f t="shared" si="3"/>
        <v>0</v>
      </c>
      <c r="H93" s="21">
        <f t="shared" si="4"/>
        <v>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21">
        <f t="shared" si="8"/>
        <v>0</v>
      </c>
      <c r="AM93" s="21">
        <f t="shared" si="9"/>
        <v>0</v>
      </c>
    </row>
    <row r="94" spans="1:39" x14ac:dyDescent="0.25">
      <c r="A94" s="18"/>
      <c r="B94" s="56"/>
      <c r="C94" s="2"/>
      <c r="D94" s="19"/>
      <c r="E94" s="19"/>
      <c r="F94" s="21">
        <f t="shared" si="2"/>
        <v>0</v>
      </c>
      <c r="G94" s="21">
        <f t="shared" si="3"/>
        <v>0</v>
      </c>
      <c r="H94" s="21">
        <f t="shared" si="4"/>
        <v>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21">
        <f t="shared" si="8"/>
        <v>0</v>
      </c>
      <c r="AM94" s="21">
        <f t="shared" si="9"/>
        <v>0</v>
      </c>
    </row>
    <row r="95" spans="1:39" ht="15.75" thickBot="1" x14ac:dyDescent="0.3">
      <c r="A95" s="18"/>
      <c r="B95" s="56"/>
      <c r="C95" s="2"/>
      <c r="D95" s="19"/>
      <c r="E95" s="19"/>
      <c r="F95" s="21">
        <f t="shared" si="2"/>
        <v>0</v>
      </c>
      <c r="G95" s="21">
        <f t="shared" si="3"/>
        <v>0</v>
      </c>
      <c r="H95" s="21">
        <f t="shared" si="4"/>
        <v>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21">
        <f t="shared" si="8"/>
        <v>0</v>
      </c>
      <c r="AM95" s="21">
        <f t="shared" si="9"/>
        <v>0</v>
      </c>
    </row>
    <row r="96" spans="1:39" s="48" customFormat="1" ht="19.5" thickBot="1" x14ac:dyDescent="0.35">
      <c r="A96" s="67" t="s">
        <v>25</v>
      </c>
      <c r="B96" s="68"/>
      <c r="C96" s="69"/>
      <c r="D96" s="46">
        <f>SUM(D62:D95)</f>
        <v>0</v>
      </c>
      <c r="E96" s="46">
        <f t="shared" ref="E96:I96" si="10">SUM(E62:E95)</f>
        <v>0</v>
      </c>
      <c r="F96" s="46">
        <f t="shared" si="10"/>
        <v>0</v>
      </c>
      <c r="G96" s="46">
        <f t="shared" si="10"/>
        <v>0</v>
      </c>
      <c r="H96" s="46">
        <f t="shared" si="10"/>
        <v>0</v>
      </c>
      <c r="I96" s="46">
        <f t="shared" si="10"/>
        <v>0</v>
      </c>
      <c r="J96" s="46"/>
      <c r="K96" s="46"/>
      <c r="L96" s="46"/>
      <c r="M96" s="46">
        <f t="shared" ref="M96" si="11">SUM(M62:M95)</f>
        <v>0</v>
      </c>
      <c r="N96" s="46"/>
      <c r="O96" s="46"/>
      <c r="P96" s="46"/>
      <c r="Q96" s="46">
        <f t="shared" ref="Q96" si="12">SUM(Q62:Q95)</f>
        <v>0</v>
      </c>
      <c r="R96" s="46"/>
      <c r="S96" s="46"/>
      <c r="T96" s="46"/>
      <c r="U96" s="46">
        <f t="shared" ref="U96" si="13">SUM(U62:U95)</f>
        <v>0</v>
      </c>
      <c r="V96" s="46"/>
      <c r="W96" s="46"/>
      <c r="X96" s="46"/>
      <c r="Y96" s="46">
        <f t="shared" ref="Y96" si="14">SUM(Y62:Y95)</f>
        <v>0</v>
      </c>
      <c r="Z96" s="46"/>
      <c r="AA96" s="46"/>
      <c r="AB96" s="46"/>
      <c r="AC96" s="46">
        <f t="shared" ref="AC96" si="15">SUM(AC62:AC95)</f>
        <v>0</v>
      </c>
      <c r="AD96" s="46"/>
      <c r="AE96" s="46"/>
      <c r="AF96" s="46"/>
      <c r="AG96" s="46">
        <f t="shared" ref="AG96" si="16">SUM(AG62:AG95)</f>
        <v>0</v>
      </c>
      <c r="AH96" s="46"/>
      <c r="AI96" s="46"/>
      <c r="AJ96" s="46"/>
      <c r="AK96" s="46">
        <f t="shared" ref="AK96:AL96" si="17">SUM(AK62:AK95)</f>
        <v>0</v>
      </c>
      <c r="AL96" s="46">
        <f t="shared" si="17"/>
        <v>0</v>
      </c>
      <c r="AM96" s="47">
        <f>SUM(AM5:AM95)</f>
        <v>0</v>
      </c>
    </row>
    <row r="98" spans="5:37" x14ac:dyDescent="0.25">
      <c r="E98" s="20">
        <f>+E25+E61+E96</f>
        <v>0</v>
      </c>
      <c r="AK98" s="20">
        <f>+AK25+AK61+AK96</f>
        <v>0</v>
      </c>
    </row>
  </sheetData>
  <autoFilter ref="A4:AQ4" xr:uid="{CFDC911D-5270-4F0F-A51D-80E2DCDF6F83}"/>
  <mergeCells count="5">
    <mergeCell ref="A1:AL1"/>
    <mergeCell ref="M3:AK3"/>
    <mergeCell ref="A25:C25"/>
    <mergeCell ref="A61:C61"/>
    <mergeCell ref="A96:C9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B4CD-6C6E-4E88-8264-EB0362A4386E}">
  <sheetPr>
    <tabColor rgb="FFFF0000"/>
  </sheetPr>
  <dimension ref="A1:AQ138"/>
  <sheetViews>
    <sheetView zoomScale="85" zoomScaleNormal="85" workbookViewId="0">
      <pane ySplit="4" topLeftCell="A107" activePane="bottomLeft" state="frozen"/>
      <selection pane="bottomLeft" activeCell="C109" sqref="C109"/>
    </sheetView>
  </sheetViews>
  <sheetFormatPr baseColWidth="10" defaultRowHeight="15" x14ac:dyDescent="0.25"/>
  <cols>
    <col min="1" max="1" width="7.85546875" style="14" customWidth="1"/>
    <col min="2" max="2" width="12.85546875" style="52" customWidth="1"/>
    <col min="3" max="3" width="12" bestFit="1" customWidth="1"/>
    <col min="4" max="5" width="14.42578125" style="20" bestFit="1" customWidth="1"/>
    <col min="6" max="6" width="15.85546875" style="20" bestFit="1" customWidth="1"/>
    <col min="7" max="7" width="19.7109375" style="20" hidden="1" customWidth="1"/>
    <col min="8" max="8" width="18.42578125" style="20" hidden="1" customWidth="1"/>
    <col min="9" max="9" width="14.28515625" style="20" bestFit="1" customWidth="1"/>
    <col min="10" max="10" width="3.140625" style="20" customWidth="1"/>
    <col min="11" max="11" width="2.5703125" style="20" customWidth="1"/>
    <col min="12" max="12" width="2.140625" style="20" bestFit="1" customWidth="1"/>
    <col min="13" max="13" width="14.28515625" style="20" bestFit="1" customWidth="1"/>
    <col min="14" max="14" width="2.140625" style="20" bestFit="1" customWidth="1"/>
    <col min="15" max="15" width="2.5703125" style="20" bestFit="1" customWidth="1"/>
    <col min="16" max="16" width="2.140625" style="20" bestFit="1" customWidth="1"/>
    <col min="17" max="17" width="14.28515625" style="20" bestFit="1" customWidth="1"/>
    <col min="18" max="18" width="2.140625" style="20" bestFit="1" customWidth="1"/>
    <col min="19" max="19" width="2.5703125" style="20" bestFit="1" customWidth="1"/>
    <col min="20" max="20" width="2.140625" style="20" bestFit="1" customWidth="1"/>
    <col min="21" max="21" width="14.28515625" style="20" bestFit="1" customWidth="1"/>
    <col min="22" max="22" width="2.140625" style="20" bestFit="1" customWidth="1"/>
    <col min="23" max="23" width="2.5703125" style="20" bestFit="1" customWidth="1"/>
    <col min="24" max="24" width="2.140625" style="20" bestFit="1" customWidth="1"/>
    <col min="25" max="25" width="14.28515625" style="20" bestFit="1" customWidth="1"/>
    <col min="26" max="28" width="2.140625" style="20" customWidth="1"/>
    <col min="29" max="29" width="14.28515625" style="20" bestFit="1" customWidth="1"/>
    <col min="30" max="32" width="2.140625" style="20" customWidth="1"/>
    <col min="33" max="33" width="14.28515625" style="20" bestFit="1" customWidth="1"/>
    <col min="34" max="36" width="2.140625" style="20" customWidth="1"/>
    <col min="37" max="37" width="14.85546875" style="20" bestFit="1" customWidth="1"/>
    <col min="38" max="38" width="14.5703125" style="20" bestFit="1" customWidth="1"/>
    <col min="39" max="39" width="11.28515625" style="20" customWidth="1"/>
  </cols>
  <sheetData>
    <row r="1" spans="1:43" ht="22.5" thickTop="1" thickBot="1" x14ac:dyDescent="0.4">
      <c r="A1" s="62" t="s">
        <v>202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4"/>
    </row>
    <row r="2" spans="1:43" ht="16.5" thickTop="1" thickBot="1" x14ac:dyDescent="0.3"/>
    <row r="3" spans="1:43" s="1" customFormat="1" ht="15.75" thickTop="1" x14ac:dyDescent="0.25">
      <c r="A3" s="15"/>
      <c r="B3" s="53"/>
      <c r="C3" s="5"/>
      <c r="D3" s="27"/>
      <c r="E3" s="27" t="s">
        <v>2</v>
      </c>
      <c r="F3" s="27"/>
      <c r="G3" s="28" t="s">
        <v>4</v>
      </c>
      <c r="H3" s="29" t="s">
        <v>32</v>
      </c>
      <c r="I3" s="30"/>
      <c r="J3" s="31"/>
      <c r="K3" s="31"/>
      <c r="L3" s="31"/>
      <c r="M3" s="65" t="s">
        <v>12</v>
      </c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6"/>
      <c r="AL3" s="32"/>
      <c r="AM3" s="33"/>
    </row>
    <row r="4" spans="1:43" s="1" customFormat="1" ht="26.25" customHeight="1" thickBot="1" x14ac:dyDescent="0.3">
      <c r="A4" s="16" t="s">
        <v>0</v>
      </c>
      <c r="B4" s="54" t="s">
        <v>37</v>
      </c>
      <c r="C4" s="6" t="s">
        <v>1</v>
      </c>
      <c r="D4" s="34" t="s">
        <v>2</v>
      </c>
      <c r="E4" s="34" t="s">
        <v>3</v>
      </c>
      <c r="F4" s="34" t="s">
        <v>5</v>
      </c>
      <c r="G4" s="35" t="s">
        <v>6</v>
      </c>
      <c r="H4" s="36" t="s">
        <v>33</v>
      </c>
      <c r="I4" s="37" t="s">
        <v>7</v>
      </c>
      <c r="J4" s="38" t="s">
        <v>16</v>
      </c>
      <c r="K4" s="38" t="s">
        <v>17</v>
      </c>
      <c r="L4" s="38" t="s">
        <v>18</v>
      </c>
      <c r="M4" s="39" t="s">
        <v>8</v>
      </c>
      <c r="N4" s="38" t="s">
        <v>16</v>
      </c>
      <c r="O4" s="38" t="s">
        <v>17</v>
      </c>
      <c r="P4" s="38" t="s">
        <v>18</v>
      </c>
      <c r="Q4" s="39" t="s">
        <v>9</v>
      </c>
      <c r="R4" s="38" t="s">
        <v>16</v>
      </c>
      <c r="S4" s="38" t="s">
        <v>17</v>
      </c>
      <c r="T4" s="38" t="s">
        <v>18</v>
      </c>
      <c r="U4" s="39" t="s">
        <v>10</v>
      </c>
      <c r="V4" s="38" t="s">
        <v>16</v>
      </c>
      <c r="W4" s="38" t="s">
        <v>17</v>
      </c>
      <c r="X4" s="38" t="s">
        <v>18</v>
      </c>
      <c r="Y4" s="39" t="s">
        <v>19</v>
      </c>
      <c r="Z4" s="38" t="s">
        <v>16</v>
      </c>
      <c r="AA4" s="38" t="s">
        <v>17</v>
      </c>
      <c r="AB4" s="38" t="s">
        <v>18</v>
      </c>
      <c r="AC4" s="39" t="s">
        <v>19</v>
      </c>
      <c r="AD4" s="38" t="s">
        <v>16</v>
      </c>
      <c r="AE4" s="38" t="s">
        <v>17</v>
      </c>
      <c r="AF4" s="38" t="s">
        <v>18</v>
      </c>
      <c r="AG4" s="39" t="s">
        <v>19</v>
      </c>
      <c r="AH4" s="38" t="s">
        <v>16</v>
      </c>
      <c r="AI4" s="38" t="s">
        <v>17</v>
      </c>
      <c r="AJ4" s="38" t="s">
        <v>18</v>
      </c>
      <c r="AK4" s="40" t="s">
        <v>11</v>
      </c>
      <c r="AL4" s="41" t="s">
        <v>13</v>
      </c>
      <c r="AM4" s="42" t="s">
        <v>5</v>
      </c>
    </row>
    <row r="5" spans="1:43" ht="15.75" thickTop="1" x14ac:dyDescent="0.25">
      <c r="A5" s="17">
        <v>46205</v>
      </c>
      <c r="B5" s="58">
        <v>0.93680555555555556</v>
      </c>
      <c r="C5" s="3" t="s">
        <v>206</v>
      </c>
      <c r="D5" s="21">
        <v>145</v>
      </c>
      <c r="E5" s="21">
        <v>166.75</v>
      </c>
      <c r="F5" s="21">
        <f>+E5-D5</f>
        <v>21.75</v>
      </c>
      <c r="G5" s="21">
        <f>+D5*0.15</f>
        <v>21.75</v>
      </c>
      <c r="H5" s="21">
        <f>+D5+G5</f>
        <v>166.75</v>
      </c>
      <c r="I5" s="4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>
        <v>166.75</v>
      </c>
      <c r="AL5" s="21">
        <f>SUM(I5:AK5)</f>
        <v>166.75</v>
      </c>
      <c r="AM5" s="21">
        <f t="shared" ref="AM5:AM23" si="0">+AL5-E5</f>
        <v>0</v>
      </c>
      <c r="AN5" t="s">
        <v>14</v>
      </c>
      <c r="AO5" t="s">
        <v>14</v>
      </c>
      <c r="AP5" t="s">
        <v>14</v>
      </c>
      <c r="AQ5" t="s">
        <v>14</v>
      </c>
    </row>
    <row r="6" spans="1:43" x14ac:dyDescent="0.25">
      <c r="A6" s="17">
        <v>46206</v>
      </c>
      <c r="B6" s="58">
        <v>0.50972222222222219</v>
      </c>
      <c r="C6" s="3" t="s">
        <v>207</v>
      </c>
      <c r="D6" s="21">
        <v>979</v>
      </c>
      <c r="E6" s="21">
        <v>1125.8499999999999</v>
      </c>
      <c r="F6" s="21">
        <f>+E6-D6</f>
        <v>146.84999999999991</v>
      </c>
      <c r="G6" s="21"/>
      <c r="H6" s="21"/>
      <c r="I6" s="43">
        <v>525</v>
      </c>
      <c r="J6" s="21" t="s">
        <v>34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>
        <v>600.85</v>
      </c>
      <c r="AL6" s="21">
        <f t="shared" ref="AL6:AL23" si="1">SUM(I6:AK6)</f>
        <v>1125.8499999999999</v>
      </c>
      <c r="AM6" s="21">
        <f t="shared" si="0"/>
        <v>0</v>
      </c>
    </row>
    <row r="7" spans="1:43" x14ac:dyDescent="0.25">
      <c r="A7" s="17">
        <v>46206</v>
      </c>
      <c r="B7" s="58">
        <v>0.51249999999999996</v>
      </c>
      <c r="C7" s="3" t="s">
        <v>208</v>
      </c>
      <c r="D7" s="21">
        <v>260</v>
      </c>
      <c r="E7" s="21">
        <v>299</v>
      </c>
      <c r="F7" s="21">
        <f>+E7-D7</f>
        <v>39</v>
      </c>
      <c r="G7" s="21">
        <f>+D7*0.15</f>
        <v>39</v>
      </c>
      <c r="H7" s="21">
        <f>+D7+G7</f>
        <v>299</v>
      </c>
      <c r="I7" s="49"/>
      <c r="J7" s="49"/>
      <c r="K7" s="49"/>
      <c r="L7" s="49"/>
      <c r="M7" s="49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>
        <v>299</v>
      </c>
      <c r="AL7" s="21">
        <f t="shared" si="1"/>
        <v>299</v>
      </c>
      <c r="AM7" s="21">
        <f t="shared" si="0"/>
        <v>0</v>
      </c>
      <c r="AN7" t="s">
        <v>14</v>
      </c>
      <c r="AO7" t="s">
        <v>14</v>
      </c>
      <c r="AP7" t="s">
        <v>14</v>
      </c>
      <c r="AQ7" t="s">
        <v>14</v>
      </c>
    </row>
    <row r="8" spans="1:43" x14ac:dyDescent="0.25">
      <c r="A8" s="18">
        <v>46206</v>
      </c>
      <c r="B8" s="59">
        <v>0.51388888888888884</v>
      </c>
      <c r="C8" s="2" t="s">
        <v>209</v>
      </c>
      <c r="D8" s="19">
        <v>550</v>
      </c>
      <c r="E8" s="19">
        <v>632.5</v>
      </c>
      <c r="F8" s="21">
        <f t="shared" ref="F8:F107" si="2">+E8-D8</f>
        <v>82.5</v>
      </c>
      <c r="G8" s="21">
        <f t="shared" ref="G8:G107" si="3">+D8*0.15</f>
        <v>82.5</v>
      </c>
      <c r="H8" s="21">
        <f t="shared" ref="H8:H107" si="4">+D8+G8</f>
        <v>632.5</v>
      </c>
      <c r="I8" s="50"/>
      <c r="J8" s="50"/>
      <c r="K8" s="50"/>
      <c r="L8" s="50"/>
      <c r="M8" s="5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>
        <v>632.5</v>
      </c>
      <c r="AL8" s="21">
        <f t="shared" si="1"/>
        <v>632.5</v>
      </c>
      <c r="AM8" s="21">
        <f t="shared" si="0"/>
        <v>0</v>
      </c>
    </row>
    <row r="9" spans="1:43" x14ac:dyDescent="0.25">
      <c r="A9" s="18">
        <v>46206</v>
      </c>
      <c r="B9" s="59">
        <v>0.52083333333333337</v>
      </c>
      <c r="C9" s="2" t="s">
        <v>210</v>
      </c>
      <c r="D9" s="19">
        <v>1470</v>
      </c>
      <c r="E9" s="19">
        <v>1599</v>
      </c>
      <c r="F9" s="21">
        <f t="shared" si="2"/>
        <v>129</v>
      </c>
      <c r="G9" s="21"/>
      <c r="H9" s="21"/>
      <c r="I9" s="49">
        <v>500</v>
      </c>
      <c r="J9" s="49" t="s">
        <v>34</v>
      </c>
      <c r="K9" s="49"/>
      <c r="L9" s="49"/>
      <c r="M9" s="49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>
        <v>1099</v>
      </c>
      <c r="AL9" s="21">
        <f t="shared" si="1"/>
        <v>1599</v>
      </c>
      <c r="AM9" s="21">
        <f t="shared" si="0"/>
        <v>0</v>
      </c>
    </row>
    <row r="10" spans="1:43" x14ac:dyDescent="0.25">
      <c r="A10" s="18">
        <v>46206</v>
      </c>
      <c r="B10" s="59">
        <v>4.7222222222222221E-2</v>
      </c>
      <c r="C10" s="2" t="s">
        <v>211</v>
      </c>
      <c r="D10" s="19">
        <v>2210</v>
      </c>
      <c r="E10" s="19">
        <v>2541.5</v>
      </c>
      <c r="F10" s="21">
        <f t="shared" si="2"/>
        <v>331.5</v>
      </c>
      <c r="G10" s="21"/>
      <c r="H10" s="21"/>
      <c r="I10" s="49"/>
      <c r="J10" s="49"/>
      <c r="K10" s="49"/>
      <c r="L10" s="49"/>
      <c r="M10" s="49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>
        <v>2541.5</v>
      </c>
      <c r="AL10" s="21">
        <f t="shared" si="1"/>
        <v>2541.5</v>
      </c>
      <c r="AM10" s="21">
        <f t="shared" si="0"/>
        <v>0</v>
      </c>
    </row>
    <row r="11" spans="1:43" x14ac:dyDescent="0.25">
      <c r="A11" s="18">
        <v>46206</v>
      </c>
      <c r="B11" s="59">
        <v>5.2777777777777778E-2</v>
      </c>
      <c r="C11" s="2" t="s">
        <v>212</v>
      </c>
      <c r="D11" s="19">
        <v>170</v>
      </c>
      <c r="E11" s="19">
        <v>195.5</v>
      </c>
      <c r="F11" s="21">
        <f t="shared" si="2"/>
        <v>25.5</v>
      </c>
      <c r="G11" s="21"/>
      <c r="H11" s="21"/>
      <c r="I11" s="49"/>
      <c r="J11" s="49"/>
      <c r="K11" s="49"/>
      <c r="L11" s="49"/>
      <c r="M11" s="49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>
        <v>195.5</v>
      </c>
      <c r="AL11" s="21">
        <f t="shared" si="1"/>
        <v>195.5</v>
      </c>
      <c r="AM11" s="21">
        <f t="shared" si="0"/>
        <v>0</v>
      </c>
    </row>
    <row r="12" spans="1:43" x14ac:dyDescent="0.25">
      <c r="A12" s="18">
        <v>46206</v>
      </c>
      <c r="B12" s="59">
        <v>6.458333333333334E-2</v>
      </c>
      <c r="C12" s="2" t="s">
        <v>213</v>
      </c>
      <c r="D12" s="19">
        <v>80</v>
      </c>
      <c r="E12" s="19">
        <v>92</v>
      </c>
      <c r="F12" s="21">
        <f t="shared" si="2"/>
        <v>12</v>
      </c>
      <c r="G12" s="21"/>
      <c r="H12" s="21"/>
      <c r="I12" s="49"/>
      <c r="J12" s="49"/>
      <c r="K12" s="49"/>
      <c r="L12" s="49"/>
      <c r="M12" s="49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>
        <v>92</v>
      </c>
      <c r="AL12" s="21">
        <f t="shared" si="1"/>
        <v>92</v>
      </c>
      <c r="AM12" s="21">
        <f t="shared" si="0"/>
        <v>0</v>
      </c>
    </row>
    <row r="13" spans="1:43" x14ac:dyDescent="0.25">
      <c r="A13" s="18">
        <v>46206</v>
      </c>
      <c r="B13" s="59">
        <v>7.5694444444444439E-2</v>
      </c>
      <c r="C13" s="2" t="s">
        <v>214</v>
      </c>
      <c r="D13" s="19">
        <v>210</v>
      </c>
      <c r="E13" s="19">
        <v>241.5</v>
      </c>
      <c r="F13" s="21">
        <f t="shared" si="2"/>
        <v>31.5</v>
      </c>
      <c r="G13" s="21">
        <f t="shared" si="3"/>
        <v>31.5</v>
      </c>
      <c r="H13" s="21">
        <f t="shared" si="4"/>
        <v>241.5</v>
      </c>
      <c r="I13" s="50"/>
      <c r="J13" s="50"/>
      <c r="K13" s="50"/>
      <c r="L13" s="50"/>
      <c r="M13" s="5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>
        <v>241.5</v>
      </c>
      <c r="AL13" s="21">
        <f t="shared" si="1"/>
        <v>241.5</v>
      </c>
      <c r="AM13" s="21">
        <f t="shared" si="0"/>
        <v>0</v>
      </c>
    </row>
    <row r="14" spans="1:43" x14ac:dyDescent="0.25">
      <c r="A14" s="18">
        <v>46206</v>
      </c>
      <c r="B14" s="59">
        <v>7.8472222222222221E-2</v>
      </c>
      <c r="C14" s="2" t="s">
        <v>215</v>
      </c>
      <c r="D14" s="19">
        <v>3215</v>
      </c>
      <c r="E14" s="19">
        <v>3697.25</v>
      </c>
      <c r="F14" s="21">
        <f t="shared" si="2"/>
        <v>482.25</v>
      </c>
      <c r="G14" s="21"/>
      <c r="H14" s="21"/>
      <c r="I14" s="49"/>
      <c r="J14" s="49"/>
      <c r="K14" s="49"/>
      <c r="L14" s="49"/>
      <c r="M14" s="49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>
        <v>3697.25</v>
      </c>
      <c r="AL14" s="21">
        <f t="shared" si="1"/>
        <v>3697.25</v>
      </c>
      <c r="AM14" s="21">
        <f t="shared" si="0"/>
        <v>0</v>
      </c>
    </row>
    <row r="15" spans="1:43" x14ac:dyDescent="0.25">
      <c r="A15" s="18">
        <v>46206</v>
      </c>
      <c r="B15" s="59">
        <v>7.7083333333333337E-2</v>
      </c>
      <c r="C15" s="2" t="s">
        <v>216</v>
      </c>
      <c r="D15" s="19">
        <v>2780</v>
      </c>
      <c r="E15" s="19">
        <v>3197</v>
      </c>
      <c r="F15" s="21">
        <f t="shared" si="2"/>
        <v>417</v>
      </c>
      <c r="G15" s="21">
        <f t="shared" si="3"/>
        <v>417</v>
      </c>
      <c r="H15" s="21">
        <f t="shared" si="4"/>
        <v>3197</v>
      </c>
      <c r="I15" s="50"/>
      <c r="J15" s="50"/>
      <c r="K15" s="50"/>
      <c r="L15" s="50"/>
      <c r="M15" s="50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>
        <v>3197</v>
      </c>
      <c r="AL15" s="21">
        <f t="shared" si="1"/>
        <v>3197</v>
      </c>
      <c r="AM15" s="21">
        <f t="shared" si="0"/>
        <v>0</v>
      </c>
    </row>
    <row r="16" spans="1:43" x14ac:dyDescent="0.25">
      <c r="A16" s="18">
        <v>46206</v>
      </c>
      <c r="B16" s="59">
        <v>8.1944444444444445E-2</v>
      </c>
      <c r="C16" s="2" t="s">
        <v>217</v>
      </c>
      <c r="D16" s="19">
        <v>40</v>
      </c>
      <c r="E16" s="19">
        <v>40</v>
      </c>
      <c r="F16" s="21">
        <f t="shared" si="2"/>
        <v>0</v>
      </c>
      <c r="G16" s="21">
        <f t="shared" si="3"/>
        <v>6</v>
      </c>
      <c r="H16" s="21">
        <f t="shared" si="4"/>
        <v>46</v>
      </c>
      <c r="I16" s="50"/>
      <c r="J16" s="50"/>
      <c r="K16" s="50"/>
      <c r="L16" s="50"/>
      <c r="M16" s="50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>
        <v>40</v>
      </c>
      <c r="AL16" s="21">
        <f t="shared" si="1"/>
        <v>40</v>
      </c>
      <c r="AM16" s="21">
        <f t="shared" si="0"/>
        <v>0</v>
      </c>
    </row>
    <row r="17" spans="1:39" x14ac:dyDescent="0.25">
      <c r="A17" s="18">
        <v>46206</v>
      </c>
      <c r="B17" s="59">
        <v>8.3333333333333329E-2</v>
      </c>
      <c r="C17" s="2" t="s">
        <v>218</v>
      </c>
      <c r="D17" s="19">
        <v>2760</v>
      </c>
      <c r="E17" s="19">
        <v>3036</v>
      </c>
      <c r="F17" s="21">
        <f t="shared" si="2"/>
        <v>276</v>
      </c>
      <c r="G17" s="21"/>
      <c r="H17" s="21"/>
      <c r="I17" s="49">
        <v>3036</v>
      </c>
      <c r="J17" s="49"/>
      <c r="K17" s="49" t="s">
        <v>34</v>
      </c>
      <c r="L17" s="49"/>
      <c r="M17" s="49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>
        <f t="shared" si="1"/>
        <v>3036</v>
      </c>
      <c r="AM17" s="21">
        <f t="shared" si="0"/>
        <v>0</v>
      </c>
    </row>
    <row r="18" spans="1:39" x14ac:dyDescent="0.25">
      <c r="A18" s="18">
        <v>46206</v>
      </c>
      <c r="B18" s="59">
        <v>8.4027777777777785E-2</v>
      </c>
      <c r="C18" s="2" t="s">
        <v>219</v>
      </c>
      <c r="D18" s="19">
        <v>30</v>
      </c>
      <c r="E18" s="19">
        <v>30</v>
      </c>
      <c r="F18" s="21">
        <f t="shared" si="2"/>
        <v>0</v>
      </c>
      <c r="G18" s="21">
        <f t="shared" si="3"/>
        <v>4.5</v>
      </c>
      <c r="H18" s="21">
        <f t="shared" si="4"/>
        <v>34.5</v>
      </c>
      <c r="I18" s="50"/>
      <c r="J18" s="50"/>
      <c r="K18" s="50"/>
      <c r="L18" s="50"/>
      <c r="M18" s="50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>
        <v>30</v>
      </c>
      <c r="AL18" s="21">
        <f t="shared" si="1"/>
        <v>30</v>
      </c>
      <c r="AM18" s="21">
        <f t="shared" si="0"/>
        <v>0</v>
      </c>
    </row>
    <row r="19" spans="1:39" x14ac:dyDescent="0.25">
      <c r="A19" s="18">
        <v>46206</v>
      </c>
      <c r="B19" s="59">
        <v>0.125</v>
      </c>
      <c r="C19" s="2" t="s">
        <v>220</v>
      </c>
      <c r="D19" s="19">
        <v>6480</v>
      </c>
      <c r="E19" s="19">
        <v>7452</v>
      </c>
      <c r="F19" s="21">
        <f t="shared" si="2"/>
        <v>972</v>
      </c>
      <c r="G19" s="21"/>
      <c r="H19" s="21"/>
      <c r="I19" s="50">
        <v>7452</v>
      </c>
      <c r="J19" s="50"/>
      <c r="K19" s="50"/>
      <c r="L19" s="50"/>
      <c r="M19" s="50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1">
        <f t="shared" si="1"/>
        <v>7452</v>
      </c>
      <c r="AM19" s="21">
        <f t="shared" si="0"/>
        <v>0</v>
      </c>
    </row>
    <row r="20" spans="1:39" x14ac:dyDescent="0.25">
      <c r="A20" s="18">
        <v>46206</v>
      </c>
      <c r="B20" s="59">
        <v>0.12638888888888888</v>
      </c>
      <c r="C20" s="2" t="s">
        <v>221</v>
      </c>
      <c r="D20" s="19">
        <v>1480</v>
      </c>
      <c r="E20" s="19">
        <v>1702</v>
      </c>
      <c r="F20" s="21">
        <f t="shared" si="2"/>
        <v>222</v>
      </c>
      <c r="G20" s="21"/>
      <c r="H20" s="21"/>
      <c r="I20" s="49">
        <v>348</v>
      </c>
      <c r="J20" s="49"/>
      <c r="K20" s="49"/>
      <c r="L20" s="49"/>
      <c r="M20" s="49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>
        <v>1354</v>
      </c>
      <c r="AL20" s="21">
        <f t="shared" si="1"/>
        <v>1702</v>
      </c>
      <c r="AM20" s="21">
        <f t="shared" si="0"/>
        <v>0</v>
      </c>
    </row>
    <row r="21" spans="1:39" x14ac:dyDescent="0.25">
      <c r="A21" s="18">
        <v>46206</v>
      </c>
      <c r="B21" s="59">
        <v>0.13194444444444445</v>
      </c>
      <c r="C21" s="2" t="s">
        <v>222</v>
      </c>
      <c r="D21" s="19">
        <v>1200</v>
      </c>
      <c r="E21" s="19">
        <v>1380</v>
      </c>
      <c r="F21" s="21">
        <f t="shared" si="2"/>
        <v>180</v>
      </c>
      <c r="G21" s="21">
        <f t="shared" si="3"/>
        <v>180</v>
      </c>
      <c r="H21" s="21">
        <f t="shared" si="4"/>
        <v>1380</v>
      </c>
      <c r="I21" s="50">
        <v>1380</v>
      </c>
      <c r="J21" s="50"/>
      <c r="K21" s="50"/>
      <c r="L21" s="50"/>
      <c r="M21" s="50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1">
        <f t="shared" si="1"/>
        <v>1380</v>
      </c>
      <c r="AM21" s="21">
        <f t="shared" si="0"/>
        <v>0</v>
      </c>
    </row>
    <row r="22" spans="1:39" x14ac:dyDescent="0.25">
      <c r="A22" s="18">
        <v>46206</v>
      </c>
      <c r="B22" s="59">
        <v>0.13333333333333333</v>
      </c>
      <c r="C22" s="2" t="s">
        <v>223</v>
      </c>
      <c r="D22" s="19">
        <v>2299</v>
      </c>
      <c r="E22" s="19">
        <v>2643.85</v>
      </c>
      <c r="F22" s="21">
        <f t="shared" si="2"/>
        <v>344.84999999999991</v>
      </c>
      <c r="G22" s="21">
        <f t="shared" si="3"/>
        <v>344.84999999999997</v>
      </c>
      <c r="H22" s="21">
        <f t="shared" si="4"/>
        <v>2643.85</v>
      </c>
      <c r="I22" s="50"/>
      <c r="J22" s="50"/>
      <c r="K22" s="50"/>
      <c r="L22" s="50"/>
      <c r="M22" s="50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>
        <v>2643.85</v>
      </c>
      <c r="AL22" s="21">
        <f t="shared" si="1"/>
        <v>2643.85</v>
      </c>
      <c r="AM22" s="21">
        <f t="shared" si="0"/>
        <v>0</v>
      </c>
    </row>
    <row r="23" spans="1:39" ht="15.75" thickBot="1" x14ac:dyDescent="0.3">
      <c r="A23" s="44"/>
      <c r="B23" s="60"/>
      <c r="C23" s="45"/>
      <c r="D23" s="22"/>
      <c r="E23" s="22"/>
      <c r="F23" s="23">
        <f t="shared" si="2"/>
        <v>0</v>
      </c>
      <c r="G23" s="23">
        <f t="shared" si="3"/>
        <v>0</v>
      </c>
      <c r="H23" s="23">
        <f t="shared" si="4"/>
        <v>0</v>
      </c>
      <c r="I23" s="51"/>
      <c r="J23" s="51"/>
      <c r="K23" s="51"/>
      <c r="L23" s="51"/>
      <c r="M23" s="51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1">
        <f t="shared" si="1"/>
        <v>0</v>
      </c>
      <c r="AM23" s="23">
        <f t="shared" si="0"/>
        <v>0</v>
      </c>
    </row>
    <row r="24" spans="1:39" s="48" customFormat="1" ht="19.5" thickBot="1" x14ac:dyDescent="0.35">
      <c r="A24" s="67" t="s">
        <v>110</v>
      </c>
      <c r="B24" s="68"/>
      <c r="C24" s="69"/>
      <c r="D24" s="46">
        <f>SUM(D5:D23)</f>
        <v>26358</v>
      </c>
      <c r="E24" s="46">
        <f>SUM(E5:E23)</f>
        <v>30071.699999999997</v>
      </c>
      <c r="F24" s="46">
        <f>SUM(F5:F23)</f>
        <v>3713.7</v>
      </c>
      <c r="G24" s="46"/>
      <c r="H24" s="46"/>
      <c r="I24" s="46">
        <f>SUM(I5:I23)</f>
        <v>13241</v>
      </c>
      <c r="J24" s="46"/>
      <c r="K24" s="46"/>
      <c r="L24" s="46"/>
      <c r="M24" s="46">
        <f>SUM(M5:M23)</f>
        <v>0</v>
      </c>
      <c r="N24" s="46"/>
      <c r="O24" s="46"/>
      <c r="P24" s="46"/>
      <c r="Q24" s="46">
        <f>SUM(Q5:Q23)</f>
        <v>0</v>
      </c>
      <c r="R24" s="46"/>
      <c r="S24" s="46"/>
      <c r="T24" s="46"/>
      <c r="U24" s="46">
        <f>SUM(U5:U23)</f>
        <v>0</v>
      </c>
      <c r="V24" s="46"/>
      <c r="W24" s="46"/>
      <c r="X24" s="46"/>
      <c r="Y24" s="46">
        <f>SUM(Y5:Y23)</f>
        <v>0</v>
      </c>
      <c r="Z24" s="46"/>
      <c r="AA24" s="46"/>
      <c r="AB24" s="46"/>
      <c r="AC24" s="46">
        <f>SUM(AC5:AC23)</f>
        <v>0</v>
      </c>
      <c r="AD24" s="46"/>
      <c r="AE24" s="46"/>
      <c r="AF24" s="46"/>
      <c r="AG24" s="46">
        <f>SUM(AG5:AG23)</f>
        <v>0</v>
      </c>
      <c r="AH24" s="46"/>
      <c r="AI24" s="46"/>
      <c r="AJ24" s="46"/>
      <c r="AK24" s="46">
        <f>SUM(AK5:AK23)</f>
        <v>16830.7</v>
      </c>
      <c r="AL24" s="46">
        <f>SUM(AL5:AL23)</f>
        <v>30071.699999999997</v>
      </c>
      <c r="AM24" s="47"/>
    </row>
    <row r="25" spans="1:39" x14ac:dyDescent="0.25">
      <c r="A25" s="17">
        <v>46206</v>
      </c>
      <c r="B25" s="59">
        <v>0.99861111111111112</v>
      </c>
      <c r="C25" s="3" t="s">
        <v>235</v>
      </c>
      <c r="D25" s="19">
        <v>4000</v>
      </c>
      <c r="E25" s="19">
        <v>4600</v>
      </c>
      <c r="F25" s="21">
        <f t="shared" ref="F25" si="5">+E25-D25</f>
        <v>600</v>
      </c>
      <c r="G25" s="21"/>
      <c r="H25" s="21"/>
      <c r="I25" s="61">
        <v>4600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>
        <f>SUM(I25:AK25)</f>
        <v>4600</v>
      </c>
      <c r="AM25" s="21">
        <f>+AL25-E25</f>
        <v>0</v>
      </c>
    </row>
    <row r="26" spans="1:39" x14ac:dyDescent="0.25">
      <c r="A26" s="17">
        <v>46207</v>
      </c>
      <c r="B26" s="59">
        <v>0.50347222222222221</v>
      </c>
      <c r="C26" s="3" t="s">
        <v>224</v>
      </c>
      <c r="D26" s="19">
        <v>450</v>
      </c>
      <c r="E26" s="19">
        <v>517.5</v>
      </c>
      <c r="F26" s="21">
        <f t="shared" ref="F26" si="6">+E26-D26</f>
        <v>67.5</v>
      </c>
      <c r="G26" s="21"/>
      <c r="H26" s="21"/>
      <c r="I26" s="61">
        <v>517.5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>
        <f>SUM(I26:AK26)</f>
        <v>517.5</v>
      </c>
      <c r="AM26" s="21">
        <f>+AL26-E26</f>
        <v>0</v>
      </c>
    </row>
    <row r="27" spans="1:39" x14ac:dyDescent="0.25">
      <c r="A27" s="18">
        <v>46207</v>
      </c>
      <c r="B27" s="59">
        <v>0.50486111111111109</v>
      </c>
      <c r="C27" s="2" t="s">
        <v>225</v>
      </c>
      <c r="D27" s="19">
        <v>0</v>
      </c>
      <c r="E27" s="19">
        <v>0</v>
      </c>
      <c r="F27" s="21">
        <f t="shared" si="2"/>
        <v>0</v>
      </c>
      <c r="G27" s="21">
        <f t="shared" si="3"/>
        <v>0</v>
      </c>
      <c r="H27" s="21">
        <f t="shared" si="4"/>
        <v>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1">
        <f t="shared" ref="AL27:AL54" si="7">SUM(I27:AK27)</f>
        <v>0</v>
      </c>
      <c r="AM27" s="21">
        <f t="shared" ref="AM27:AM54" si="8">+AL27-E27</f>
        <v>0</v>
      </c>
    </row>
    <row r="28" spans="1:39" x14ac:dyDescent="0.25">
      <c r="A28" s="17">
        <v>46207</v>
      </c>
      <c r="B28" s="59">
        <v>4.3749999999999997E-2</v>
      </c>
      <c r="C28" s="3" t="s">
        <v>226</v>
      </c>
      <c r="D28" s="19">
        <v>2400</v>
      </c>
      <c r="E28" s="19">
        <v>2760</v>
      </c>
      <c r="F28" s="21">
        <f t="shared" si="2"/>
        <v>360</v>
      </c>
      <c r="G28" s="21"/>
      <c r="H28" s="21"/>
      <c r="I28" s="61">
        <v>1500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61">
        <v>1260</v>
      </c>
      <c r="AL28" s="21">
        <f t="shared" si="7"/>
        <v>2760</v>
      </c>
      <c r="AM28" s="21">
        <f t="shared" si="8"/>
        <v>0</v>
      </c>
    </row>
    <row r="29" spans="1:39" x14ac:dyDescent="0.25">
      <c r="A29" s="18">
        <v>46207</v>
      </c>
      <c r="B29" s="59">
        <v>4.6527777777777779E-2</v>
      </c>
      <c r="C29" s="2" t="s">
        <v>227</v>
      </c>
      <c r="D29" s="19">
        <v>2840</v>
      </c>
      <c r="E29" s="19">
        <v>3266</v>
      </c>
      <c r="F29" s="21">
        <f t="shared" si="2"/>
        <v>426</v>
      </c>
      <c r="G29" s="21">
        <f t="shared" si="3"/>
        <v>426</v>
      </c>
      <c r="H29" s="21">
        <f t="shared" si="4"/>
        <v>3266</v>
      </c>
      <c r="I29" s="24">
        <v>3266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50"/>
      <c r="AL29" s="21">
        <f t="shared" si="7"/>
        <v>3266</v>
      </c>
      <c r="AM29" s="21">
        <f t="shared" si="8"/>
        <v>0</v>
      </c>
    </row>
    <row r="30" spans="1:39" x14ac:dyDescent="0.25">
      <c r="A30" s="18">
        <v>46207</v>
      </c>
      <c r="B30" s="59">
        <v>5.1388888888888887E-2</v>
      </c>
      <c r="C30" s="2" t="s">
        <v>228</v>
      </c>
      <c r="D30" s="19">
        <v>1360</v>
      </c>
      <c r="E30" s="19">
        <v>1564</v>
      </c>
      <c r="F30" s="21">
        <f t="shared" si="2"/>
        <v>204</v>
      </c>
      <c r="G30" s="21">
        <f t="shared" si="3"/>
        <v>204</v>
      </c>
      <c r="H30" s="21">
        <f t="shared" si="4"/>
        <v>1564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24">
        <v>1564</v>
      </c>
      <c r="AL30" s="21">
        <f t="shared" si="7"/>
        <v>1564</v>
      </c>
      <c r="AM30" s="21">
        <f t="shared" si="8"/>
        <v>0</v>
      </c>
    </row>
    <row r="31" spans="1:39" x14ac:dyDescent="0.25">
      <c r="A31" s="17">
        <v>46207</v>
      </c>
      <c r="B31" s="59">
        <v>8.0555555555555561E-2</v>
      </c>
      <c r="C31" s="3" t="s">
        <v>229</v>
      </c>
      <c r="D31" s="19">
        <v>100</v>
      </c>
      <c r="E31" s="19">
        <v>100</v>
      </c>
      <c r="F31" s="21">
        <f t="shared" si="2"/>
        <v>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61">
        <v>100</v>
      </c>
      <c r="AL31" s="21">
        <f t="shared" si="7"/>
        <v>100</v>
      </c>
      <c r="AM31" s="21">
        <f t="shared" si="8"/>
        <v>0</v>
      </c>
    </row>
    <row r="32" spans="1:39" x14ac:dyDescent="0.25">
      <c r="A32" s="17">
        <v>46207</v>
      </c>
      <c r="B32" s="59">
        <v>8.1944444444444445E-2</v>
      </c>
      <c r="C32" s="3" t="s">
        <v>230</v>
      </c>
      <c r="D32" s="19">
        <v>1360</v>
      </c>
      <c r="E32" s="19">
        <v>1770</v>
      </c>
      <c r="F32" s="21">
        <f t="shared" si="2"/>
        <v>410</v>
      </c>
      <c r="G32" s="21"/>
      <c r="H32" s="21"/>
      <c r="I32" s="61">
        <v>1770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49"/>
      <c r="AL32" s="21">
        <f t="shared" si="7"/>
        <v>1770</v>
      </c>
      <c r="AM32" s="21">
        <f t="shared" si="8"/>
        <v>0</v>
      </c>
    </row>
    <row r="33" spans="1:39" x14ac:dyDescent="0.25">
      <c r="A33" s="18">
        <v>46207</v>
      </c>
      <c r="B33" s="59">
        <v>8.4027777777777785E-2</v>
      </c>
      <c r="C33" s="2" t="s">
        <v>231</v>
      </c>
      <c r="D33" s="19">
        <v>1200</v>
      </c>
      <c r="E33" s="19">
        <v>1380</v>
      </c>
      <c r="F33" s="21">
        <f t="shared" si="2"/>
        <v>180</v>
      </c>
      <c r="G33" s="21">
        <f t="shared" si="3"/>
        <v>180</v>
      </c>
      <c r="H33" s="21">
        <f t="shared" si="4"/>
        <v>1380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24">
        <v>1380</v>
      </c>
      <c r="AL33" s="21">
        <f t="shared" si="7"/>
        <v>1380</v>
      </c>
      <c r="AM33" s="21">
        <f t="shared" si="8"/>
        <v>0</v>
      </c>
    </row>
    <row r="34" spans="1:39" x14ac:dyDescent="0.25">
      <c r="A34" s="18">
        <v>46207</v>
      </c>
      <c r="B34" s="59">
        <v>8.6805555555555552E-2</v>
      </c>
      <c r="C34" s="2" t="s">
        <v>232</v>
      </c>
      <c r="D34" s="19">
        <v>1595</v>
      </c>
      <c r="E34" s="19">
        <v>1834.24</v>
      </c>
      <c r="F34" s="21">
        <f t="shared" si="2"/>
        <v>239.24</v>
      </c>
      <c r="G34" s="21">
        <f t="shared" si="3"/>
        <v>239.25</v>
      </c>
      <c r="H34" s="21">
        <f t="shared" si="4"/>
        <v>1834.25</v>
      </c>
      <c r="I34" s="24">
        <v>500</v>
      </c>
      <c r="J34" s="19" t="s">
        <v>34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24">
        <v>1334.25</v>
      </c>
      <c r="AL34" s="21">
        <f t="shared" si="7"/>
        <v>1834.25</v>
      </c>
      <c r="AM34" s="21">
        <f t="shared" si="8"/>
        <v>9.9999999999909051E-3</v>
      </c>
    </row>
    <row r="35" spans="1:39" x14ac:dyDescent="0.25">
      <c r="A35" s="18">
        <v>46207</v>
      </c>
      <c r="B35" s="59">
        <v>8.7499999999999994E-2</v>
      </c>
      <c r="C35" s="2" t="s">
        <v>233</v>
      </c>
      <c r="D35" s="19">
        <v>1280</v>
      </c>
      <c r="E35" s="19">
        <v>1500</v>
      </c>
      <c r="F35" s="21">
        <f t="shared" si="2"/>
        <v>220</v>
      </c>
      <c r="G35" s="21">
        <f t="shared" si="3"/>
        <v>192</v>
      </c>
      <c r="H35" s="21">
        <f t="shared" si="4"/>
        <v>1472</v>
      </c>
      <c r="I35" s="24">
        <v>1500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50"/>
      <c r="AL35" s="21">
        <f t="shared" si="7"/>
        <v>1500</v>
      </c>
      <c r="AM35" s="21">
        <f t="shared" si="8"/>
        <v>0</v>
      </c>
    </row>
    <row r="36" spans="1:39" x14ac:dyDescent="0.25">
      <c r="A36" s="18">
        <v>46207</v>
      </c>
      <c r="B36" s="59">
        <v>9.0972222222222218E-2</v>
      </c>
      <c r="C36" s="2" t="s">
        <v>234</v>
      </c>
      <c r="D36" s="19">
        <v>420</v>
      </c>
      <c r="E36" s="19">
        <v>483</v>
      </c>
      <c r="F36" s="21">
        <f t="shared" si="2"/>
        <v>63</v>
      </c>
      <c r="G36" s="21">
        <f t="shared" si="3"/>
        <v>63</v>
      </c>
      <c r="H36" s="21">
        <f t="shared" si="4"/>
        <v>483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24">
        <v>483</v>
      </c>
      <c r="AL36" s="21">
        <f t="shared" si="7"/>
        <v>483</v>
      </c>
      <c r="AM36" s="21">
        <f t="shared" si="8"/>
        <v>0</v>
      </c>
    </row>
    <row r="37" spans="1:39" x14ac:dyDescent="0.25">
      <c r="A37" s="18">
        <v>46207</v>
      </c>
      <c r="B37" s="59">
        <v>9.3055555555555558E-2</v>
      </c>
      <c r="C37" s="2" t="s">
        <v>236</v>
      </c>
      <c r="D37" s="19">
        <v>110</v>
      </c>
      <c r="E37" s="19">
        <v>126.5</v>
      </c>
      <c r="F37" s="21">
        <f t="shared" si="2"/>
        <v>16.5</v>
      </c>
      <c r="G37" s="21">
        <f t="shared" si="3"/>
        <v>16.5</v>
      </c>
      <c r="H37" s="21">
        <f t="shared" si="4"/>
        <v>126.5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24">
        <v>126.5</v>
      </c>
      <c r="AL37" s="21">
        <f t="shared" si="7"/>
        <v>126.5</v>
      </c>
      <c r="AM37" s="21">
        <f t="shared" si="8"/>
        <v>0</v>
      </c>
    </row>
    <row r="38" spans="1:39" x14ac:dyDescent="0.25">
      <c r="A38" s="17">
        <v>46207</v>
      </c>
      <c r="B38" s="59">
        <v>9.5138888888888884E-2</v>
      </c>
      <c r="C38" s="3" t="s">
        <v>237</v>
      </c>
      <c r="D38" s="19">
        <v>490</v>
      </c>
      <c r="E38" s="19">
        <v>588</v>
      </c>
      <c r="F38" s="21">
        <f t="shared" si="2"/>
        <v>98</v>
      </c>
      <c r="G38" s="21">
        <f t="shared" si="3"/>
        <v>73.5</v>
      </c>
      <c r="H38" s="21">
        <f t="shared" si="4"/>
        <v>563.5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61">
        <v>588</v>
      </c>
      <c r="AL38" s="21">
        <f t="shared" si="7"/>
        <v>588</v>
      </c>
      <c r="AM38" s="21">
        <f t="shared" si="8"/>
        <v>0</v>
      </c>
    </row>
    <row r="39" spans="1:39" x14ac:dyDescent="0.25">
      <c r="A39" s="18">
        <v>46207</v>
      </c>
      <c r="B39" s="59">
        <v>0.10069444444444445</v>
      </c>
      <c r="C39" s="2" t="s">
        <v>238</v>
      </c>
      <c r="D39" s="19">
        <v>990</v>
      </c>
      <c r="E39" s="19">
        <v>1188</v>
      </c>
      <c r="F39" s="21">
        <f t="shared" si="2"/>
        <v>198</v>
      </c>
      <c r="G39" s="21">
        <f t="shared" si="3"/>
        <v>148.5</v>
      </c>
      <c r="H39" s="21">
        <f t="shared" si="4"/>
        <v>1138.5</v>
      </c>
      <c r="I39" s="24">
        <v>1188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50"/>
      <c r="AL39" s="21">
        <f t="shared" si="7"/>
        <v>1188</v>
      </c>
      <c r="AM39" s="21">
        <f t="shared" si="8"/>
        <v>0</v>
      </c>
    </row>
    <row r="40" spans="1:39" x14ac:dyDescent="0.25">
      <c r="A40" s="18">
        <v>46207</v>
      </c>
      <c r="B40" s="59">
        <v>0.10277777777777777</v>
      </c>
      <c r="C40" s="2" t="s">
        <v>239</v>
      </c>
      <c r="D40" s="19">
        <v>600</v>
      </c>
      <c r="E40" s="19">
        <v>600</v>
      </c>
      <c r="F40" s="21">
        <f t="shared" si="2"/>
        <v>0</v>
      </c>
      <c r="G40" s="21">
        <f t="shared" si="3"/>
        <v>90</v>
      </c>
      <c r="H40" s="21">
        <f t="shared" si="4"/>
        <v>690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24">
        <v>600</v>
      </c>
      <c r="AL40" s="21">
        <f t="shared" si="7"/>
        <v>600</v>
      </c>
      <c r="AM40" s="21">
        <f t="shared" si="8"/>
        <v>0</v>
      </c>
    </row>
    <row r="41" spans="1:39" x14ac:dyDescent="0.25">
      <c r="A41" s="17">
        <v>46207</v>
      </c>
      <c r="B41" s="59">
        <v>0.10625</v>
      </c>
      <c r="C41" s="3" t="s">
        <v>240</v>
      </c>
      <c r="D41" s="19">
        <v>1560</v>
      </c>
      <c r="E41" s="19">
        <v>1794</v>
      </c>
      <c r="F41" s="21">
        <f t="shared" si="2"/>
        <v>234</v>
      </c>
      <c r="G41" s="21">
        <f t="shared" si="3"/>
        <v>234</v>
      </c>
      <c r="H41" s="21">
        <f t="shared" si="4"/>
        <v>1794</v>
      </c>
      <c r="I41" s="61">
        <v>1472</v>
      </c>
      <c r="J41" s="21"/>
      <c r="K41" s="21"/>
      <c r="L41" s="21"/>
      <c r="M41" s="61">
        <v>322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49"/>
      <c r="AL41" s="21">
        <f t="shared" si="7"/>
        <v>1794</v>
      </c>
      <c r="AM41" s="21">
        <f t="shared" si="8"/>
        <v>0</v>
      </c>
    </row>
    <row r="42" spans="1:39" x14ac:dyDescent="0.25">
      <c r="A42" s="18">
        <v>46207</v>
      </c>
      <c r="B42" s="59">
        <v>0.1076388888888889</v>
      </c>
      <c r="C42" s="2" t="s">
        <v>241</v>
      </c>
      <c r="D42" s="19">
        <v>1820</v>
      </c>
      <c r="E42" s="19">
        <v>2068</v>
      </c>
      <c r="F42" s="21">
        <f t="shared" si="2"/>
        <v>248</v>
      </c>
      <c r="G42" s="21">
        <f t="shared" si="3"/>
        <v>273</v>
      </c>
      <c r="H42" s="21">
        <f t="shared" si="4"/>
        <v>2093</v>
      </c>
      <c r="I42" s="24">
        <v>550</v>
      </c>
      <c r="J42" s="19"/>
      <c r="K42" s="19"/>
      <c r="L42" s="19"/>
      <c r="M42" s="24">
        <v>1518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50"/>
      <c r="AL42" s="21">
        <f t="shared" si="7"/>
        <v>2068</v>
      </c>
      <c r="AM42" s="21">
        <f t="shared" si="8"/>
        <v>0</v>
      </c>
    </row>
    <row r="43" spans="1:39" x14ac:dyDescent="0.25">
      <c r="A43" s="18">
        <v>46207</v>
      </c>
      <c r="B43" s="59">
        <v>0.11180555555555556</v>
      </c>
      <c r="C43" s="2" t="s">
        <v>242</v>
      </c>
      <c r="D43" s="19">
        <v>1600</v>
      </c>
      <c r="E43" s="19">
        <v>1840</v>
      </c>
      <c r="F43" s="21">
        <f t="shared" si="2"/>
        <v>240</v>
      </c>
      <c r="G43" s="21">
        <f t="shared" si="3"/>
        <v>240</v>
      </c>
      <c r="H43" s="21">
        <f t="shared" si="4"/>
        <v>1840</v>
      </c>
      <c r="I43" s="24">
        <v>1840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50"/>
      <c r="AL43" s="21">
        <f t="shared" si="7"/>
        <v>1840</v>
      </c>
      <c r="AM43" s="21">
        <f t="shared" si="8"/>
        <v>0</v>
      </c>
    </row>
    <row r="44" spans="1:39" x14ac:dyDescent="0.25">
      <c r="A44" s="17">
        <v>46207</v>
      </c>
      <c r="B44" s="59">
        <v>0.1125</v>
      </c>
      <c r="C44" s="3" t="s">
        <v>243</v>
      </c>
      <c r="D44" s="19">
        <v>2280</v>
      </c>
      <c r="E44" s="19">
        <v>2622</v>
      </c>
      <c r="F44" s="21">
        <f t="shared" si="2"/>
        <v>342</v>
      </c>
      <c r="G44" s="21">
        <f t="shared" si="3"/>
        <v>342</v>
      </c>
      <c r="H44" s="21">
        <f t="shared" si="4"/>
        <v>2622</v>
      </c>
      <c r="I44" s="61">
        <v>1311</v>
      </c>
      <c r="J44" s="21"/>
      <c r="K44" s="21"/>
      <c r="L44" s="21"/>
      <c r="M44" s="61">
        <v>1311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49"/>
      <c r="AL44" s="21">
        <f t="shared" si="7"/>
        <v>2622</v>
      </c>
      <c r="AM44" s="21">
        <f t="shared" si="8"/>
        <v>0</v>
      </c>
    </row>
    <row r="45" spans="1:39" x14ac:dyDescent="0.25">
      <c r="A45" s="18">
        <v>46207</v>
      </c>
      <c r="B45" s="59">
        <v>0.12083333333333333</v>
      </c>
      <c r="C45" s="2" t="s">
        <v>244</v>
      </c>
      <c r="D45" s="19">
        <v>1230</v>
      </c>
      <c r="E45" s="19">
        <v>1230</v>
      </c>
      <c r="F45" s="21">
        <f t="shared" si="2"/>
        <v>0</v>
      </c>
      <c r="G45" s="21">
        <f t="shared" si="3"/>
        <v>184.5</v>
      </c>
      <c r="H45" s="21">
        <f t="shared" si="4"/>
        <v>1414.5</v>
      </c>
      <c r="I45" s="24">
        <v>1200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24">
        <v>30</v>
      </c>
      <c r="AL45" s="21">
        <f t="shared" si="7"/>
        <v>1230</v>
      </c>
      <c r="AM45" s="21">
        <f t="shared" si="8"/>
        <v>0</v>
      </c>
    </row>
    <row r="46" spans="1:39" x14ac:dyDescent="0.25">
      <c r="A46" s="18">
        <v>46207</v>
      </c>
      <c r="B46" s="59">
        <v>0.12430555555555556</v>
      </c>
      <c r="C46" s="2" t="s">
        <v>245</v>
      </c>
      <c r="D46" s="19">
        <v>1270</v>
      </c>
      <c r="E46" s="19">
        <v>1460.5</v>
      </c>
      <c r="F46" s="21">
        <f t="shared" si="2"/>
        <v>190.5</v>
      </c>
      <c r="G46" s="21">
        <f t="shared" si="3"/>
        <v>190.5</v>
      </c>
      <c r="H46" s="21">
        <f t="shared" si="4"/>
        <v>1460.5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24">
        <v>1460.5</v>
      </c>
      <c r="AL46" s="21">
        <f t="shared" si="7"/>
        <v>1460.5</v>
      </c>
      <c r="AM46" s="21">
        <f t="shared" si="8"/>
        <v>0</v>
      </c>
    </row>
    <row r="47" spans="1:39" x14ac:dyDescent="0.25">
      <c r="A47" s="18">
        <v>46207</v>
      </c>
      <c r="B47" s="59">
        <v>0.125</v>
      </c>
      <c r="C47" s="2" t="s">
        <v>246</v>
      </c>
      <c r="D47" s="19">
        <v>1200</v>
      </c>
      <c r="E47" s="19">
        <v>1380</v>
      </c>
      <c r="F47" s="21">
        <f t="shared" si="2"/>
        <v>180</v>
      </c>
      <c r="G47" s="21">
        <f t="shared" si="3"/>
        <v>180</v>
      </c>
      <c r="H47" s="21">
        <f t="shared" si="4"/>
        <v>1380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24">
        <v>1380</v>
      </c>
      <c r="AL47" s="21">
        <f t="shared" si="7"/>
        <v>1380</v>
      </c>
      <c r="AM47" s="21">
        <f t="shared" si="8"/>
        <v>0</v>
      </c>
    </row>
    <row r="48" spans="1:39" x14ac:dyDescent="0.25">
      <c r="A48" s="17">
        <v>46207</v>
      </c>
      <c r="B48" s="59">
        <v>0.12569444444444444</v>
      </c>
      <c r="C48" s="3" t="s">
        <v>247</v>
      </c>
      <c r="D48" s="19">
        <v>1400</v>
      </c>
      <c r="E48" s="19">
        <v>1610</v>
      </c>
      <c r="F48" s="21">
        <f t="shared" si="2"/>
        <v>210</v>
      </c>
      <c r="G48" s="21">
        <f t="shared" si="3"/>
        <v>210</v>
      </c>
      <c r="H48" s="21">
        <f t="shared" si="4"/>
        <v>1610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61">
        <v>1610</v>
      </c>
      <c r="AL48" s="21">
        <f t="shared" si="7"/>
        <v>1610</v>
      </c>
      <c r="AM48" s="21">
        <f t="shared" si="8"/>
        <v>0</v>
      </c>
    </row>
    <row r="49" spans="1:39" x14ac:dyDescent="0.25">
      <c r="A49" s="18">
        <v>46207</v>
      </c>
      <c r="B49" s="59">
        <v>0.12638888888888888</v>
      </c>
      <c r="C49" s="2" t="s">
        <v>248</v>
      </c>
      <c r="D49" s="19">
        <v>330</v>
      </c>
      <c r="E49" s="19">
        <v>379.5</v>
      </c>
      <c r="F49" s="21">
        <f t="shared" si="2"/>
        <v>49.5</v>
      </c>
      <c r="G49" s="21">
        <f t="shared" si="3"/>
        <v>49.5</v>
      </c>
      <c r="H49" s="21">
        <f t="shared" si="4"/>
        <v>379.5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24">
        <v>379.5</v>
      </c>
      <c r="AL49" s="21">
        <f t="shared" si="7"/>
        <v>379.5</v>
      </c>
      <c r="AM49" s="21">
        <f t="shared" si="8"/>
        <v>0</v>
      </c>
    </row>
    <row r="50" spans="1:39" x14ac:dyDescent="0.25">
      <c r="A50" s="17">
        <v>46207</v>
      </c>
      <c r="B50" s="59">
        <v>0.12847222222222221</v>
      </c>
      <c r="C50" s="3" t="s">
        <v>249</v>
      </c>
      <c r="D50" s="19">
        <v>1590</v>
      </c>
      <c r="E50" s="19">
        <v>1828.5</v>
      </c>
      <c r="F50" s="21">
        <f t="shared" si="2"/>
        <v>238.5</v>
      </c>
      <c r="G50" s="21">
        <f t="shared" si="3"/>
        <v>238.5</v>
      </c>
      <c r="H50" s="21">
        <f t="shared" si="4"/>
        <v>1828.5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61">
        <v>1828.5</v>
      </c>
      <c r="AL50" s="21">
        <f t="shared" si="7"/>
        <v>1828.5</v>
      </c>
      <c r="AM50" s="21">
        <f t="shared" si="8"/>
        <v>0</v>
      </c>
    </row>
    <row r="51" spans="1:39" x14ac:dyDescent="0.25">
      <c r="A51" s="17">
        <v>46207</v>
      </c>
      <c r="B51" s="59">
        <v>0.13055555555555556</v>
      </c>
      <c r="C51" s="3" t="s">
        <v>250</v>
      </c>
      <c r="D51" s="19">
        <v>2640</v>
      </c>
      <c r="E51" s="19">
        <v>3036</v>
      </c>
      <c r="F51" s="21">
        <f t="shared" si="2"/>
        <v>396</v>
      </c>
      <c r="G51" s="21">
        <f t="shared" si="3"/>
        <v>396</v>
      </c>
      <c r="H51" s="21">
        <f t="shared" si="4"/>
        <v>3036</v>
      </c>
      <c r="I51" s="61">
        <v>1908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61">
        <v>1128</v>
      </c>
      <c r="AL51" s="21">
        <f t="shared" si="7"/>
        <v>3036</v>
      </c>
      <c r="AM51" s="21">
        <f t="shared" si="8"/>
        <v>0</v>
      </c>
    </row>
    <row r="52" spans="1:39" x14ac:dyDescent="0.25">
      <c r="A52" s="17">
        <v>46207</v>
      </c>
      <c r="B52" s="59">
        <v>0.13263888888888889</v>
      </c>
      <c r="C52" s="3" t="s">
        <v>251</v>
      </c>
      <c r="D52" s="19">
        <v>1280</v>
      </c>
      <c r="E52" s="19">
        <v>1472</v>
      </c>
      <c r="F52" s="21">
        <f t="shared" si="2"/>
        <v>192</v>
      </c>
      <c r="G52" s="21">
        <f t="shared" si="3"/>
        <v>192</v>
      </c>
      <c r="H52" s="21">
        <f t="shared" si="4"/>
        <v>1472</v>
      </c>
      <c r="I52" s="61">
        <v>1180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61">
        <v>292</v>
      </c>
      <c r="AL52" s="21">
        <f t="shared" si="7"/>
        <v>1472</v>
      </c>
      <c r="AM52" s="21">
        <f t="shared" si="8"/>
        <v>0</v>
      </c>
    </row>
    <row r="53" spans="1:39" x14ac:dyDescent="0.25">
      <c r="A53" s="17">
        <v>46207</v>
      </c>
      <c r="B53" s="59">
        <v>0.13472222222222222</v>
      </c>
      <c r="C53" s="3" t="s">
        <v>252</v>
      </c>
      <c r="D53" s="19">
        <v>300</v>
      </c>
      <c r="E53" s="19">
        <v>345</v>
      </c>
      <c r="F53" s="21">
        <f t="shared" si="2"/>
        <v>45</v>
      </c>
      <c r="G53" s="21">
        <f t="shared" si="3"/>
        <v>45</v>
      </c>
      <c r="H53" s="21">
        <f t="shared" si="4"/>
        <v>345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61">
        <v>345</v>
      </c>
      <c r="AL53" s="21">
        <f t="shared" si="7"/>
        <v>345</v>
      </c>
      <c r="AM53" s="21">
        <f t="shared" si="8"/>
        <v>0</v>
      </c>
    </row>
    <row r="54" spans="1:39" ht="15.75" thickBot="1" x14ac:dyDescent="0.3">
      <c r="A54" s="17"/>
      <c r="B54" s="59"/>
      <c r="C54" s="3"/>
      <c r="D54" s="19"/>
      <c r="E54" s="19"/>
      <c r="F54" s="21">
        <f t="shared" si="2"/>
        <v>0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>
        <f t="shared" si="7"/>
        <v>0</v>
      </c>
      <c r="AM54" s="21">
        <f t="shared" si="8"/>
        <v>0</v>
      </c>
    </row>
    <row r="55" spans="1:39" s="48" customFormat="1" ht="19.5" thickBot="1" x14ac:dyDescent="0.35">
      <c r="A55" s="67" t="s">
        <v>110</v>
      </c>
      <c r="B55" s="68"/>
      <c r="C55" s="69"/>
      <c r="D55" s="46">
        <f>SUM(D25:D54)</f>
        <v>37695</v>
      </c>
      <c r="E55" s="46">
        <f>SUM(E25:E54)</f>
        <v>43342.740000000005</v>
      </c>
      <c r="F55" s="46">
        <f>SUM(F25:F54)</f>
        <v>5647.74</v>
      </c>
      <c r="G55" s="46"/>
      <c r="H55" s="46"/>
      <c r="I55" s="46">
        <f>SUM(I25:I54)</f>
        <v>24302.5</v>
      </c>
      <c r="J55" s="46"/>
      <c r="K55" s="46"/>
      <c r="L55" s="46"/>
      <c r="M55" s="46">
        <f>SUM(M25:M54)</f>
        <v>3151</v>
      </c>
      <c r="N55" s="46"/>
      <c r="O55" s="46"/>
      <c r="P55" s="46"/>
      <c r="Q55" s="46">
        <f>SUM(Q25:Q54)</f>
        <v>0</v>
      </c>
      <c r="R55" s="46"/>
      <c r="S55" s="46"/>
      <c r="T55" s="46"/>
      <c r="U55" s="46">
        <f>SUM(U25:U54)</f>
        <v>0</v>
      </c>
      <c r="V55" s="46"/>
      <c r="W55" s="46"/>
      <c r="X55" s="46"/>
      <c r="Y55" s="46">
        <f>SUM(Y25:Y54)</f>
        <v>0</v>
      </c>
      <c r="Z55" s="46"/>
      <c r="AA55" s="46"/>
      <c r="AB55" s="46"/>
      <c r="AC55" s="46">
        <f>SUM(AC25:AC54)</f>
        <v>0</v>
      </c>
      <c r="AD55" s="46"/>
      <c r="AE55" s="46"/>
      <c r="AF55" s="46"/>
      <c r="AG55" s="46">
        <f>SUM(AG25:AG54)</f>
        <v>0</v>
      </c>
      <c r="AH55" s="46"/>
      <c r="AI55" s="46"/>
      <c r="AJ55" s="46">
        <f>SUM(AJ27:AJ54)</f>
        <v>0</v>
      </c>
      <c r="AK55" s="46">
        <f>SUM(AK25:AK54)</f>
        <v>15889.25</v>
      </c>
      <c r="AL55" s="46">
        <f>SUM(AL25:AL54)</f>
        <v>43342.75</v>
      </c>
      <c r="AM55" s="47"/>
    </row>
    <row r="56" spans="1:39" x14ac:dyDescent="0.25">
      <c r="A56" s="17">
        <v>46207</v>
      </c>
      <c r="B56" s="59">
        <v>0.90347222222222223</v>
      </c>
      <c r="C56" s="3" t="s">
        <v>253</v>
      </c>
      <c r="D56" s="21">
        <v>110</v>
      </c>
      <c r="E56" s="21">
        <v>126.5</v>
      </c>
      <c r="F56" s="21">
        <f t="shared" si="2"/>
        <v>16.5</v>
      </c>
      <c r="G56" s="21">
        <f t="shared" si="3"/>
        <v>16.5</v>
      </c>
      <c r="H56" s="21">
        <f t="shared" si="4"/>
        <v>126.5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>
        <v>126.5</v>
      </c>
      <c r="AL56" s="21">
        <f>SUM(I56:AK56)</f>
        <v>126.5</v>
      </c>
      <c r="AM56" s="21">
        <f>+AL56-E56</f>
        <v>0</v>
      </c>
    </row>
    <row r="57" spans="1:39" ht="14.25" customHeight="1" x14ac:dyDescent="0.25">
      <c r="A57" s="18">
        <v>46207</v>
      </c>
      <c r="B57" s="59">
        <v>0.93888888888888888</v>
      </c>
      <c r="C57" s="2" t="s">
        <v>254</v>
      </c>
      <c r="D57" s="19">
        <v>265</v>
      </c>
      <c r="E57" s="19">
        <v>304.75</v>
      </c>
      <c r="F57" s="21">
        <f t="shared" si="2"/>
        <v>39.75</v>
      </c>
      <c r="G57" s="21">
        <f t="shared" si="3"/>
        <v>39.75</v>
      </c>
      <c r="H57" s="21">
        <f t="shared" si="4"/>
        <v>304.75</v>
      </c>
      <c r="I57" s="5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1">
        <v>304.75</v>
      </c>
      <c r="AM57" s="21">
        <f t="shared" ref="AM57:AM89" si="9">+AL57-E57</f>
        <v>0</v>
      </c>
    </row>
    <row r="58" spans="1:39" x14ac:dyDescent="0.25">
      <c r="A58" s="18">
        <v>46207</v>
      </c>
      <c r="B58" s="59">
        <v>0.95763888888888893</v>
      </c>
      <c r="C58" s="2" t="s">
        <v>255</v>
      </c>
      <c r="D58" s="19">
        <v>340</v>
      </c>
      <c r="E58" s="19">
        <v>391</v>
      </c>
      <c r="F58" s="21">
        <f t="shared" si="2"/>
        <v>51</v>
      </c>
      <c r="G58" s="21">
        <f t="shared" si="3"/>
        <v>51</v>
      </c>
      <c r="H58" s="21">
        <f t="shared" si="4"/>
        <v>391</v>
      </c>
      <c r="I58" s="50">
        <v>391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1">
        <f t="shared" ref="AL58:AL89" si="10">SUM(I58:AK58)</f>
        <v>391</v>
      </c>
      <c r="AM58" s="21">
        <f t="shared" si="9"/>
        <v>0</v>
      </c>
    </row>
    <row r="59" spans="1:39" x14ac:dyDescent="0.25">
      <c r="A59" s="18">
        <v>46207</v>
      </c>
      <c r="B59" s="59">
        <v>0.97638888888888886</v>
      </c>
      <c r="C59" s="2" t="s">
        <v>288</v>
      </c>
      <c r="D59" s="19">
        <v>0</v>
      </c>
      <c r="E59" s="19">
        <v>0</v>
      </c>
      <c r="F59" s="21">
        <f t="shared" si="2"/>
        <v>0</v>
      </c>
      <c r="G59" s="21"/>
      <c r="H59" s="21"/>
      <c r="I59" s="5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1">
        <f t="shared" ref="AL59" si="11">SUM(I59:AK59)</f>
        <v>0</v>
      </c>
      <c r="AM59" s="21">
        <f t="shared" ref="AM59" si="12">+AL59-E59</f>
        <v>0</v>
      </c>
    </row>
    <row r="60" spans="1:39" x14ac:dyDescent="0.25">
      <c r="A60" s="18">
        <v>46207</v>
      </c>
      <c r="B60" s="59">
        <v>0.98055555555555551</v>
      </c>
      <c r="C60" s="2" t="s">
        <v>256</v>
      </c>
      <c r="D60" s="19">
        <v>750</v>
      </c>
      <c r="E60" s="19">
        <v>750</v>
      </c>
      <c r="F60" s="21">
        <f t="shared" si="2"/>
        <v>0</v>
      </c>
      <c r="G60" s="21">
        <f t="shared" si="3"/>
        <v>112.5</v>
      </c>
      <c r="H60" s="21">
        <f t="shared" si="4"/>
        <v>862.5</v>
      </c>
      <c r="I60" s="5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>
        <v>750</v>
      </c>
      <c r="AL60" s="21">
        <f t="shared" si="10"/>
        <v>750</v>
      </c>
      <c r="AM60" s="21">
        <f t="shared" si="9"/>
        <v>0</v>
      </c>
    </row>
    <row r="61" spans="1:39" x14ac:dyDescent="0.25">
      <c r="A61" s="18">
        <v>46208</v>
      </c>
      <c r="B61" s="59">
        <v>9.7222222222222224E-3</v>
      </c>
      <c r="C61" s="2" t="s">
        <v>257</v>
      </c>
      <c r="D61" s="19">
        <v>1200</v>
      </c>
      <c r="E61" s="19">
        <v>1440</v>
      </c>
      <c r="F61" s="21">
        <f t="shared" si="2"/>
        <v>240</v>
      </c>
      <c r="G61" s="21">
        <f t="shared" si="3"/>
        <v>180</v>
      </c>
      <c r="H61" s="21">
        <f t="shared" si="4"/>
        <v>1380</v>
      </c>
      <c r="I61" s="50">
        <v>1440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1">
        <f t="shared" si="10"/>
        <v>1440</v>
      </c>
      <c r="AM61" s="21">
        <f t="shared" si="9"/>
        <v>0</v>
      </c>
    </row>
    <row r="62" spans="1:39" x14ac:dyDescent="0.25">
      <c r="A62" s="18">
        <v>46208</v>
      </c>
      <c r="B62" s="59">
        <v>3.4722222222222224E-2</v>
      </c>
      <c r="C62" s="2" t="s">
        <v>258</v>
      </c>
      <c r="D62" s="19">
        <v>1200</v>
      </c>
      <c r="E62" s="19">
        <v>1380</v>
      </c>
      <c r="F62" s="21">
        <f t="shared" si="2"/>
        <v>180</v>
      </c>
      <c r="G62" s="21">
        <f t="shared" si="3"/>
        <v>180</v>
      </c>
      <c r="H62" s="21">
        <f t="shared" si="4"/>
        <v>1380</v>
      </c>
      <c r="I62" s="50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>
        <v>1380</v>
      </c>
      <c r="AL62" s="21">
        <f t="shared" si="10"/>
        <v>1380</v>
      </c>
      <c r="AM62" s="21">
        <f t="shared" si="9"/>
        <v>0</v>
      </c>
    </row>
    <row r="63" spans="1:39" x14ac:dyDescent="0.25">
      <c r="A63" s="18">
        <v>46208</v>
      </c>
      <c r="B63" s="59">
        <v>3.9583333333333331E-2</v>
      </c>
      <c r="C63" s="2" t="s">
        <v>259</v>
      </c>
      <c r="D63" s="19">
        <v>500</v>
      </c>
      <c r="E63" s="19">
        <v>575</v>
      </c>
      <c r="F63" s="21">
        <f t="shared" si="2"/>
        <v>75</v>
      </c>
      <c r="G63" s="21">
        <f t="shared" si="3"/>
        <v>75</v>
      </c>
      <c r="H63" s="21">
        <f t="shared" si="4"/>
        <v>575</v>
      </c>
      <c r="I63" s="50">
        <v>575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1">
        <f t="shared" si="10"/>
        <v>575</v>
      </c>
      <c r="AM63" s="21">
        <f t="shared" si="9"/>
        <v>0</v>
      </c>
    </row>
    <row r="64" spans="1:39" ht="14.25" customHeight="1" x14ac:dyDescent="0.25">
      <c r="A64" s="18">
        <v>46208</v>
      </c>
      <c r="B64" s="59">
        <v>4.0972222222222222E-2</v>
      </c>
      <c r="C64" s="2" t="s">
        <v>260</v>
      </c>
      <c r="D64" s="19">
        <v>1240</v>
      </c>
      <c r="E64" s="19">
        <v>1426</v>
      </c>
      <c r="F64" s="21">
        <f t="shared" si="2"/>
        <v>186</v>
      </c>
      <c r="G64" s="21">
        <f t="shared" si="3"/>
        <v>186</v>
      </c>
      <c r="H64" s="21">
        <f t="shared" si="4"/>
        <v>1426</v>
      </c>
      <c r="I64" s="50">
        <v>1426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1">
        <f t="shared" si="10"/>
        <v>1426</v>
      </c>
      <c r="AM64" s="21">
        <f t="shared" si="9"/>
        <v>0</v>
      </c>
    </row>
    <row r="65" spans="1:39" ht="14.25" customHeight="1" x14ac:dyDescent="0.25">
      <c r="A65" s="18">
        <v>46208</v>
      </c>
      <c r="B65" s="59">
        <v>4.1666666666666664E-2</v>
      </c>
      <c r="C65" s="2" t="s">
        <v>261</v>
      </c>
      <c r="D65" s="19">
        <v>2400</v>
      </c>
      <c r="E65" s="19">
        <v>2400</v>
      </c>
      <c r="F65" s="21">
        <f t="shared" si="2"/>
        <v>0</v>
      </c>
      <c r="G65" s="21">
        <f t="shared" si="3"/>
        <v>360</v>
      </c>
      <c r="H65" s="21">
        <f t="shared" si="4"/>
        <v>2760</v>
      </c>
      <c r="I65" s="5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>
        <v>2400</v>
      </c>
      <c r="AL65" s="21">
        <f t="shared" si="10"/>
        <v>2400</v>
      </c>
      <c r="AM65" s="21">
        <f t="shared" si="9"/>
        <v>0</v>
      </c>
    </row>
    <row r="66" spans="1:39" ht="14.25" customHeight="1" x14ac:dyDescent="0.25">
      <c r="A66" s="18">
        <v>46208</v>
      </c>
      <c r="B66" s="59">
        <v>4.9305555555555554E-2</v>
      </c>
      <c r="C66" s="2" t="s">
        <v>262</v>
      </c>
      <c r="D66" s="19">
        <v>2240</v>
      </c>
      <c r="E66" s="19">
        <v>2765</v>
      </c>
      <c r="F66" s="21">
        <f t="shared" si="2"/>
        <v>525</v>
      </c>
      <c r="G66" s="21">
        <f t="shared" si="3"/>
        <v>336</v>
      </c>
      <c r="H66" s="21">
        <f t="shared" si="4"/>
        <v>2576</v>
      </c>
      <c r="I66" s="50">
        <v>2765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1">
        <f t="shared" si="10"/>
        <v>2765</v>
      </c>
      <c r="AM66" s="21">
        <f t="shared" si="9"/>
        <v>0</v>
      </c>
    </row>
    <row r="67" spans="1:39" ht="14.25" customHeight="1" x14ac:dyDescent="0.25">
      <c r="A67" s="18">
        <v>46208</v>
      </c>
      <c r="B67" s="59">
        <v>5.7638888888888892E-2</v>
      </c>
      <c r="C67" s="2" t="s">
        <v>263</v>
      </c>
      <c r="D67" s="19">
        <v>1755</v>
      </c>
      <c r="E67" s="19">
        <v>2018.25</v>
      </c>
      <c r="F67" s="21">
        <f t="shared" si="2"/>
        <v>263.25</v>
      </c>
      <c r="G67" s="21">
        <f t="shared" si="3"/>
        <v>263.25</v>
      </c>
      <c r="H67" s="21">
        <f t="shared" si="4"/>
        <v>2018.25</v>
      </c>
      <c r="I67" s="50">
        <v>2018.25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21">
        <f t="shared" si="10"/>
        <v>2018.25</v>
      </c>
      <c r="AM67" s="21">
        <f t="shared" si="9"/>
        <v>0</v>
      </c>
    </row>
    <row r="68" spans="1:39" x14ac:dyDescent="0.25">
      <c r="A68" s="18">
        <v>46208</v>
      </c>
      <c r="B68" s="59">
        <v>5.9027777777777776E-2</v>
      </c>
      <c r="C68" s="2" t="s">
        <v>264</v>
      </c>
      <c r="D68" s="19">
        <v>520</v>
      </c>
      <c r="E68" s="19">
        <v>624</v>
      </c>
      <c r="F68" s="21">
        <f t="shared" si="2"/>
        <v>104</v>
      </c>
      <c r="G68" s="21">
        <f t="shared" si="3"/>
        <v>78</v>
      </c>
      <c r="H68" s="21">
        <f t="shared" si="4"/>
        <v>598</v>
      </c>
      <c r="I68" s="50">
        <v>624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1">
        <f t="shared" si="10"/>
        <v>624</v>
      </c>
      <c r="AM68" s="21">
        <f t="shared" si="9"/>
        <v>0</v>
      </c>
    </row>
    <row r="69" spans="1:39" x14ac:dyDescent="0.25">
      <c r="A69" s="18">
        <v>46208</v>
      </c>
      <c r="B69" s="59">
        <v>5.9722222222222225E-2</v>
      </c>
      <c r="C69" s="2" t="s">
        <v>265</v>
      </c>
      <c r="D69" s="19">
        <v>240</v>
      </c>
      <c r="E69" s="19">
        <v>276</v>
      </c>
      <c r="F69" s="21">
        <f t="shared" si="2"/>
        <v>36</v>
      </c>
      <c r="G69" s="21">
        <f t="shared" si="3"/>
        <v>36</v>
      </c>
      <c r="H69" s="21">
        <f t="shared" si="4"/>
        <v>276</v>
      </c>
      <c r="I69" s="5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>
        <v>276</v>
      </c>
      <c r="AL69" s="21">
        <f t="shared" si="10"/>
        <v>276</v>
      </c>
      <c r="AM69" s="21">
        <f t="shared" si="9"/>
        <v>0</v>
      </c>
    </row>
    <row r="70" spans="1:39" ht="14.25" customHeight="1" x14ac:dyDescent="0.25">
      <c r="A70" s="18">
        <v>46208</v>
      </c>
      <c r="B70" s="59">
        <v>6.3194444444444442E-2</v>
      </c>
      <c r="C70" s="2" t="s">
        <v>266</v>
      </c>
      <c r="D70" s="19">
        <v>340</v>
      </c>
      <c r="E70" s="19">
        <v>391</v>
      </c>
      <c r="F70" s="21">
        <f t="shared" si="2"/>
        <v>51</v>
      </c>
      <c r="G70" s="21">
        <f t="shared" si="3"/>
        <v>51</v>
      </c>
      <c r="H70" s="21">
        <f t="shared" si="4"/>
        <v>391</v>
      </c>
      <c r="I70" s="50">
        <v>391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1">
        <f t="shared" si="10"/>
        <v>391</v>
      </c>
      <c r="AM70" s="21">
        <f t="shared" si="9"/>
        <v>0</v>
      </c>
    </row>
    <row r="71" spans="1:39" x14ac:dyDescent="0.25">
      <c r="A71" s="18">
        <v>46208</v>
      </c>
      <c r="B71" s="59">
        <v>6.6666666666666666E-2</v>
      </c>
      <c r="C71" s="2" t="s">
        <v>267</v>
      </c>
      <c r="D71" s="19">
        <v>440</v>
      </c>
      <c r="E71" s="19">
        <v>506</v>
      </c>
      <c r="F71" s="21">
        <f t="shared" si="2"/>
        <v>66</v>
      </c>
      <c r="G71" s="21">
        <f t="shared" si="3"/>
        <v>66</v>
      </c>
      <c r="H71" s="21">
        <f t="shared" si="4"/>
        <v>506</v>
      </c>
      <c r="I71" s="5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>
        <v>506</v>
      </c>
      <c r="AL71" s="21">
        <f t="shared" si="10"/>
        <v>506</v>
      </c>
      <c r="AM71" s="21">
        <f t="shared" si="9"/>
        <v>0</v>
      </c>
    </row>
    <row r="72" spans="1:39" x14ac:dyDescent="0.25">
      <c r="A72" s="18">
        <v>46208</v>
      </c>
      <c r="B72" s="59">
        <v>6.8750000000000006E-2</v>
      </c>
      <c r="C72" s="2" t="s">
        <v>268</v>
      </c>
      <c r="D72" s="19">
        <v>865</v>
      </c>
      <c r="E72" s="19">
        <v>994.75</v>
      </c>
      <c r="F72" s="21">
        <f t="shared" si="2"/>
        <v>129.75</v>
      </c>
      <c r="G72" s="21">
        <f t="shared" si="3"/>
        <v>129.75</v>
      </c>
      <c r="H72" s="21">
        <f t="shared" si="4"/>
        <v>994.75</v>
      </c>
      <c r="I72" s="5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>
        <v>994.75</v>
      </c>
      <c r="AL72" s="21">
        <f t="shared" si="10"/>
        <v>994.75</v>
      </c>
      <c r="AM72" s="21">
        <f t="shared" si="9"/>
        <v>0</v>
      </c>
    </row>
    <row r="73" spans="1:39" x14ac:dyDescent="0.25">
      <c r="A73" s="18">
        <v>46208</v>
      </c>
      <c r="B73" s="59">
        <v>7.8472222222222221E-2</v>
      </c>
      <c r="C73" s="2" t="s">
        <v>269</v>
      </c>
      <c r="D73" s="19">
        <v>2950</v>
      </c>
      <c r="E73" s="19">
        <v>3392.5</v>
      </c>
      <c r="F73" s="21">
        <f t="shared" si="2"/>
        <v>442.5</v>
      </c>
      <c r="G73" s="21">
        <f t="shared" si="3"/>
        <v>442.5</v>
      </c>
      <c r="H73" s="21">
        <f t="shared" si="4"/>
        <v>3392.5</v>
      </c>
      <c r="I73" s="50">
        <v>1000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>
        <v>2392.5</v>
      </c>
      <c r="AL73" s="21">
        <f t="shared" si="10"/>
        <v>3392.5</v>
      </c>
      <c r="AM73" s="21">
        <f t="shared" si="9"/>
        <v>0</v>
      </c>
    </row>
    <row r="74" spans="1:39" x14ac:dyDescent="0.25">
      <c r="A74" s="18">
        <v>46208</v>
      </c>
      <c r="B74" s="59">
        <v>8.0555555555555561E-2</v>
      </c>
      <c r="C74" s="2" t="s">
        <v>270</v>
      </c>
      <c r="D74" s="19">
        <v>330</v>
      </c>
      <c r="E74" s="19">
        <v>379.5</v>
      </c>
      <c r="F74" s="21">
        <f t="shared" si="2"/>
        <v>49.5</v>
      </c>
      <c r="G74" s="21">
        <f t="shared" si="3"/>
        <v>49.5</v>
      </c>
      <c r="H74" s="21">
        <f t="shared" si="4"/>
        <v>379.5</v>
      </c>
      <c r="I74" s="50">
        <v>379.5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1">
        <f t="shared" si="10"/>
        <v>379.5</v>
      </c>
      <c r="AM74" s="21">
        <f t="shared" si="9"/>
        <v>0</v>
      </c>
    </row>
    <row r="75" spans="1:39" x14ac:dyDescent="0.25">
      <c r="A75" s="18">
        <v>46208</v>
      </c>
      <c r="B75" s="59">
        <v>8.7499999999999994E-2</v>
      </c>
      <c r="C75" s="2" t="s">
        <v>271</v>
      </c>
      <c r="D75" s="19">
        <v>1500</v>
      </c>
      <c r="E75" s="19">
        <v>1725</v>
      </c>
      <c r="F75" s="21">
        <f t="shared" si="2"/>
        <v>225</v>
      </c>
      <c r="G75" s="21">
        <f t="shared" si="3"/>
        <v>225</v>
      </c>
      <c r="H75" s="21">
        <f t="shared" si="4"/>
        <v>1725</v>
      </c>
      <c r="I75" s="50">
        <v>1725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1">
        <f t="shared" si="10"/>
        <v>1725</v>
      </c>
      <c r="AM75" s="21">
        <f t="shared" si="9"/>
        <v>0</v>
      </c>
    </row>
    <row r="76" spans="1:39" x14ac:dyDescent="0.25">
      <c r="A76" s="18">
        <v>46208</v>
      </c>
      <c r="B76" s="59">
        <v>8.8888888888888892E-2</v>
      </c>
      <c r="C76" s="2" t="s">
        <v>272</v>
      </c>
      <c r="D76" s="19">
        <v>2810</v>
      </c>
      <c r="E76" s="19">
        <v>3231.5</v>
      </c>
      <c r="F76" s="21">
        <f t="shared" si="2"/>
        <v>421.5</v>
      </c>
      <c r="G76" s="21">
        <f t="shared" si="3"/>
        <v>421.5</v>
      </c>
      <c r="H76" s="21">
        <f t="shared" si="4"/>
        <v>3231.5</v>
      </c>
      <c r="I76" s="50">
        <v>415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>
        <v>2816.5</v>
      </c>
      <c r="AL76" s="21">
        <f t="shared" si="10"/>
        <v>3231.5</v>
      </c>
      <c r="AM76" s="21">
        <f t="shared" si="9"/>
        <v>0</v>
      </c>
    </row>
    <row r="77" spans="1:39" x14ac:dyDescent="0.25">
      <c r="A77" s="18">
        <v>46208</v>
      </c>
      <c r="B77" s="59">
        <v>9.0972222222222218E-2</v>
      </c>
      <c r="C77" s="2" t="s">
        <v>273</v>
      </c>
      <c r="D77" s="19">
        <v>550</v>
      </c>
      <c r="E77" s="19">
        <v>550</v>
      </c>
      <c r="F77" s="21">
        <f t="shared" si="2"/>
        <v>0</v>
      </c>
      <c r="G77" s="21">
        <f t="shared" si="3"/>
        <v>82.5</v>
      </c>
      <c r="H77" s="21">
        <f t="shared" si="4"/>
        <v>632.5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>
        <v>550</v>
      </c>
      <c r="AL77" s="21">
        <f t="shared" si="10"/>
        <v>550</v>
      </c>
      <c r="AM77" s="21">
        <f t="shared" si="9"/>
        <v>0</v>
      </c>
    </row>
    <row r="78" spans="1:39" x14ac:dyDescent="0.25">
      <c r="A78" s="18">
        <v>46208</v>
      </c>
      <c r="B78" s="59">
        <v>9.166666666666666E-2</v>
      </c>
      <c r="C78" s="2" t="s">
        <v>274</v>
      </c>
      <c r="D78" s="19">
        <v>110</v>
      </c>
      <c r="E78" s="19">
        <v>126.5</v>
      </c>
      <c r="F78" s="21">
        <f t="shared" si="2"/>
        <v>16.5</v>
      </c>
      <c r="G78" s="21">
        <f t="shared" si="3"/>
        <v>16.5</v>
      </c>
      <c r="H78" s="21">
        <f t="shared" si="4"/>
        <v>126.5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>
        <v>126.5</v>
      </c>
      <c r="AL78" s="21">
        <f t="shared" si="10"/>
        <v>126.5</v>
      </c>
      <c r="AM78" s="21">
        <f t="shared" si="9"/>
        <v>0</v>
      </c>
    </row>
    <row r="79" spans="1:39" x14ac:dyDescent="0.25">
      <c r="A79" s="18">
        <v>46208</v>
      </c>
      <c r="B79" s="59">
        <v>9.375E-2</v>
      </c>
      <c r="C79" s="2" t="s">
        <v>275</v>
      </c>
      <c r="D79" s="19">
        <v>410</v>
      </c>
      <c r="E79" s="19">
        <v>471.5</v>
      </c>
      <c r="F79" s="21">
        <f t="shared" si="2"/>
        <v>61.5</v>
      </c>
      <c r="G79" s="21">
        <f t="shared" si="3"/>
        <v>61.5</v>
      </c>
      <c r="H79" s="21">
        <f t="shared" si="4"/>
        <v>471.5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>
        <v>471.5</v>
      </c>
      <c r="AL79" s="21">
        <f t="shared" si="10"/>
        <v>471.5</v>
      </c>
      <c r="AM79" s="21">
        <f t="shared" si="9"/>
        <v>0</v>
      </c>
    </row>
    <row r="80" spans="1:39" ht="14.25" customHeight="1" x14ac:dyDescent="0.25">
      <c r="A80" s="18">
        <v>46208</v>
      </c>
      <c r="B80" s="59">
        <v>9.7916666666666666E-2</v>
      </c>
      <c r="C80" s="2" t="s">
        <v>276</v>
      </c>
      <c r="D80" s="19">
        <v>1240</v>
      </c>
      <c r="E80" s="19">
        <v>1426</v>
      </c>
      <c r="F80" s="21">
        <f t="shared" si="2"/>
        <v>186</v>
      </c>
      <c r="G80" s="21">
        <f t="shared" si="3"/>
        <v>186</v>
      </c>
      <c r="H80" s="21">
        <f t="shared" si="4"/>
        <v>1426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>
        <v>1426</v>
      </c>
      <c r="AL80" s="21">
        <f t="shared" si="10"/>
        <v>1426</v>
      </c>
      <c r="AM80" s="21">
        <f t="shared" si="9"/>
        <v>0</v>
      </c>
    </row>
    <row r="81" spans="1:39" ht="14.25" customHeight="1" x14ac:dyDescent="0.25">
      <c r="A81" s="18">
        <v>46208</v>
      </c>
      <c r="B81" s="59">
        <v>9.8611111111111108E-2</v>
      </c>
      <c r="C81" s="2" t="s">
        <v>277</v>
      </c>
      <c r="D81" s="19">
        <v>600</v>
      </c>
      <c r="E81" s="19">
        <v>690</v>
      </c>
      <c r="F81" s="21">
        <f t="shared" si="2"/>
        <v>90</v>
      </c>
      <c r="G81" s="21">
        <f t="shared" si="3"/>
        <v>90</v>
      </c>
      <c r="H81" s="21">
        <f t="shared" si="4"/>
        <v>690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>
        <v>690</v>
      </c>
      <c r="AL81" s="21">
        <f t="shared" si="10"/>
        <v>690</v>
      </c>
      <c r="AM81" s="21">
        <f t="shared" si="9"/>
        <v>0</v>
      </c>
    </row>
    <row r="82" spans="1:39" ht="14.25" customHeight="1" x14ac:dyDescent="0.25">
      <c r="A82" s="18">
        <v>46208</v>
      </c>
      <c r="B82" s="59">
        <v>9.930555555555555E-2</v>
      </c>
      <c r="C82" s="2" t="s">
        <v>278</v>
      </c>
      <c r="D82" s="19">
        <v>100</v>
      </c>
      <c r="E82" s="19">
        <v>100</v>
      </c>
      <c r="F82" s="21">
        <f t="shared" si="2"/>
        <v>0</v>
      </c>
      <c r="G82" s="21">
        <f t="shared" si="3"/>
        <v>15</v>
      </c>
      <c r="H82" s="21">
        <f t="shared" si="4"/>
        <v>115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>
        <v>100</v>
      </c>
      <c r="AL82" s="21">
        <f t="shared" si="10"/>
        <v>100</v>
      </c>
      <c r="AM82" s="21">
        <f t="shared" si="9"/>
        <v>0</v>
      </c>
    </row>
    <row r="83" spans="1:39" x14ac:dyDescent="0.25">
      <c r="A83" s="18">
        <v>46208</v>
      </c>
      <c r="B83" s="59">
        <v>0.1</v>
      </c>
      <c r="C83" s="2" t="s">
        <v>279</v>
      </c>
      <c r="D83" s="19">
        <v>1200</v>
      </c>
      <c r="E83" s="19">
        <v>1380</v>
      </c>
      <c r="F83" s="21">
        <f t="shared" si="2"/>
        <v>180</v>
      </c>
      <c r="G83" s="21">
        <f t="shared" si="3"/>
        <v>180</v>
      </c>
      <c r="H83" s="21">
        <f t="shared" si="4"/>
        <v>1380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>
        <v>1380</v>
      </c>
      <c r="AL83" s="21">
        <f t="shared" si="10"/>
        <v>1380</v>
      </c>
      <c r="AM83" s="21">
        <f t="shared" si="9"/>
        <v>0</v>
      </c>
    </row>
    <row r="84" spans="1:39" x14ac:dyDescent="0.25">
      <c r="A84" s="18">
        <v>46208</v>
      </c>
      <c r="B84" s="59">
        <v>0.10277777777777777</v>
      </c>
      <c r="C84" s="2" t="s">
        <v>280</v>
      </c>
      <c r="D84" s="19">
        <v>1220</v>
      </c>
      <c r="E84" s="19">
        <v>1403</v>
      </c>
      <c r="F84" s="21">
        <f t="shared" si="2"/>
        <v>183</v>
      </c>
      <c r="G84" s="21">
        <f t="shared" si="3"/>
        <v>183</v>
      </c>
      <c r="H84" s="21">
        <f t="shared" si="4"/>
        <v>1403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>
        <v>1403</v>
      </c>
      <c r="AL84" s="21">
        <f t="shared" si="10"/>
        <v>1403</v>
      </c>
      <c r="AM84" s="21">
        <f t="shared" si="9"/>
        <v>0</v>
      </c>
    </row>
    <row r="85" spans="1:39" x14ac:dyDescent="0.25">
      <c r="A85" s="18">
        <v>46208</v>
      </c>
      <c r="B85" s="59">
        <v>0.10347222222222222</v>
      </c>
      <c r="C85" s="2" t="s">
        <v>281</v>
      </c>
      <c r="D85" s="19">
        <v>4580</v>
      </c>
      <c r="E85" s="19">
        <v>5038</v>
      </c>
      <c r="F85" s="21">
        <f t="shared" si="2"/>
        <v>458</v>
      </c>
      <c r="G85" s="21">
        <f t="shared" si="3"/>
        <v>687</v>
      </c>
      <c r="H85" s="21">
        <f t="shared" si="4"/>
        <v>5267</v>
      </c>
      <c r="I85" s="19">
        <v>5038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1">
        <f t="shared" si="10"/>
        <v>5038</v>
      </c>
      <c r="AM85" s="21">
        <f t="shared" si="9"/>
        <v>0</v>
      </c>
    </row>
    <row r="86" spans="1:39" x14ac:dyDescent="0.25">
      <c r="A86" s="18">
        <v>46208</v>
      </c>
      <c r="B86" s="59">
        <v>0.10416666666666667</v>
      </c>
      <c r="C86" s="2" t="s">
        <v>282</v>
      </c>
      <c r="D86" s="19">
        <v>1400</v>
      </c>
      <c r="E86" s="19">
        <v>1610</v>
      </c>
      <c r="F86" s="21">
        <f t="shared" si="2"/>
        <v>210</v>
      </c>
      <c r="G86" s="21">
        <f t="shared" si="3"/>
        <v>210</v>
      </c>
      <c r="H86" s="21">
        <f t="shared" si="4"/>
        <v>1610</v>
      </c>
      <c r="I86" s="19">
        <v>1260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>
        <v>350</v>
      </c>
      <c r="AL86" s="21">
        <f t="shared" si="10"/>
        <v>1610</v>
      </c>
      <c r="AM86" s="21">
        <f t="shared" si="9"/>
        <v>0</v>
      </c>
    </row>
    <row r="87" spans="1:39" x14ac:dyDescent="0.25">
      <c r="A87" s="18">
        <v>46208</v>
      </c>
      <c r="B87" s="59">
        <v>0.10555555555555556</v>
      </c>
      <c r="C87" s="2" t="s">
        <v>283</v>
      </c>
      <c r="D87" s="19">
        <v>1400</v>
      </c>
      <c r="E87" s="19">
        <v>1610</v>
      </c>
      <c r="F87" s="21">
        <f t="shared" si="2"/>
        <v>210</v>
      </c>
      <c r="G87" s="21">
        <f t="shared" si="3"/>
        <v>210</v>
      </c>
      <c r="H87" s="21">
        <f t="shared" si="4"/>
        <v>1610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>
        <v>1610</v>
      </c>
      <c r="AL87" s="21">
        <f t="shared" si="10"/>
        <v>1610</v>
      </c>
      <c r="AM87" s="21">
        <f t="shared" si="9"/>
        <v>0</v>
      </c>
    </row>
    <row r="88" spans="1:39" x14ac:dyDescent="0.25">
      <c r="A88" s="18">
        <v>46208</v>
      </c>
      <c r="B88" s="59">
        <v>0.10625</v>
      </c>
      <c r="C88" s="2" t="s">
        <v>284</v>
      </c>
      <c r="D88" s="19">
        <v>520</v>
      </c>
      <c r="E88" s="19">
        <v>598</v>
      </c>
      <c r="F88" s="21">
        <f t="shared" si="2"/>
        <v>78</v>
      </c>
      <c r="G88" s="21">
        <f t="shared" si="3"/>
        <v>78</v>
      </c>
      <c r="H88" s="21">
        <f t="shared" si="4"/>
        <v>598</v>
      </c>
      <c r="I88" s="19">
        <v>158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>
        <v>440</v>
      </c>
      <c r="AL88" s="21">
        <f t="shared" si="10"/>
        <v>598</v>
      </c>
      <c r="AM88" s="21">
        <f t="shared" si="9"/>
        <v>0</v>
      </c>
    </row>
    <row r="89" spans="1:39" x14ac:dyDescent="0.25">
      <c r="A89" s="18">
        <v>46208</v>
      </c>
      <c r="B89" s="59">
        <v>0.10833333333333334</v>
      </c>
      <c r="C89" s="2" t="s">
        <v>285</v>
      </c>
      <c r="D89" s="19">
        <v>1750</v>
      </c>
      <c r="E89" s="19">
        <v>2012.5</v>
      </c>
      <c r="F89" s="21">
        <f t="shared" si="2"/>
        <v>262.5</v>
      </c>
      <c r="G89" s="21">
        <f t="shared" si="3"/>
        <v>262.5</v>
      </c>
      <c r="H89" s="21">
        <f t="shared" si="4"/>
        <v>2012.5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>
        <v>2012.5</v>
      </c>
      <c r="AL89" s="21">
        <f t="shared" si="10"/>
        <v>2012.5</v>
      </c>
      <c r="AM89" s="21">
        <f t="shared" si="9"/>
        <v>0</v>
      </c>
    </row>
    <row r="90" spans="1:39" x14ac:dyDescent="0.25">
      <c r="A90" s="18">
        <v>46208</v>
      </c>
      <c r="B90" s="59">
        <v>0.1111111111111111</v>
      </c>
      <c r="C90" s="2" t="s">
        <v>286</v>
      </c>
      <c r="D90" s="19">
        <v>2590</v>
      </c>
      <c r="E90" s="19">
        <v>2940</v>
      </c>
      <c r="F90" s="21">
        <f t="shared" si="2"/>
        <v>350</v>
      </c>
      <c r="G90" s="21">
        <f t="shared" si="3"/>
        <v>388.5</v>
      </c>
      <c r="H90" s="21">
        <f t="shared" si="4"/>
        <v>2978.5</v>
      </c>
      <c r="I90" s="19">
        <v>2590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>
        <v>350</v>
      </c>
      <c r="AL90" s="21">
        <f t="shared" ref="AL90:AL107" si="13">SUM(I90:AK90)</f>
        <v>2940</v>
      </c>
      <c r="AM90" s="21">
        <f t="shared" ref="AM90:AM107" si="14">+AL90-E90</f>
        <v>0</v>
      </c>
    </row>
    <row r="91" spans="1:39" x14ac:dyDescent="0.25">
      <c r="A91" s="18">
        <v>46208</v>
      </c>
      <c r="B91" s="59">
        <v>0.11527777777777778</v>
      </c>
      <c r="C91" s="2" t="s">
        <v>287</v>
      </c>
      <c r="D91" s="19">
        <v>80</v>
      </c>
      <c r="E91" s="19">
        <v>92</v>
      </c>
      <c r="F91" s="21">
        <f t="shared" si="2"/>
        <v>12</v>
      </c>
      <c r="G91" s="21">
        <f t="shared" si="3"/>
        <v>12</v>
      </c>
      <c r="H91" s="21">
        <f t="shared" si="4"/>
        <v>92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>
        <v>92</v>
      </c>
      <c r="AL91" s="21">
        <f t="shared" si="13"/>
        <v>92</v>
      </c>
      <c r="AM91" s="21">
        <f t="shared" si="14"/>
        <v>0</v>
      </c>
    </row>
    <row r="92" spans="1:39" x14ac:dyDescent="0.25">
      <c r="A92" s="18">
        <v>46208</v>
      </c>
      <c r="B92" s="59">
        <v>0.11666666666666667</v>
      </c>
      <c r="C92" s="2" t="s">
        <v>289</v>
      </c>
      <c r="D92" s="19">
        <v>200</v>
      </c>
      <c r="E92" s="19">
        <v>240</v>
      </c>
      <c r="F92" s="21">
        <f t="shared" si="2"/>
        <v>40</v>
      </c>
      <c r="G92" s="21">
        <f t="shared" si="3"/>
        <v>30</v>
      </c>
      <c r="H92" s="21">
        <f t="shared" si="4"/>
        <v>230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>
        <v>240</v>
      </c>
      <c r="AL92" s="21">
        <f t="shared" si="13"/>
        <v>240</v>
      </c>
      <c r="AM92" s="21">
        <f t="shared" si="14"/>
        <v>0</v>
      </c>
    </row>
    <row r="93" spans="1:39" x14ac:dyDescent="0.25">
      <c r="A93" s="18">
        <v>46208</v>
      </c>
      <c r="B93" s="59">
        <v>0.12291666666666666</v>
      </c>
      <c r="C93" s="2" t="s">
        <v>290</v>
      </c>
      <c r="D93" s="19">
        <v>2635</v>
      </c>
      <c r="E93" s="19">
        <v>2800</v>
      </c>
      <c r="F93" s="21">
        <f t="shared" si="2"/>
        <v>165</v>
      </c>
      <c r="G93" s="21">
        <f t="shared" si="3"/>
        <v>395.25</v>
      </c>
      <c r="H93" s="21">
        <f t="shared" si="4"/>
        <v>3030.25</v>
      </c>
      <c r="I93" s="19">
        <v>2800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21">
        <f t="shared" si="13"/>
        <v>2800</v>
      </c>
      <c r="AM93" s="21">
        <f t="shared" si="14"/>
        <v>0</v>
      </c>
    </row>
    <row r="94" spans="1:39" x14ac:dyDescent="0.25">
      <c r="A94" s="18">
        <v>46208</v>
      </c>
      <c r="B94" s="59">
        <v>0.12708333333333333</v>
      </c>
      <c r="C94" s="2" t="s">
        <v>291</v>
      </c>
      <c r="D94" s="19">
        <v>2240</v>
      </c>
      <c r="E94" s="19">
        <v>2576</v>
      </c>
      <c r="F94" s="21">
        <f t="shared" si="2"/>
        <v>336</v>
      </c>
      <c r="G94" s="21">
        <f t="shared" si="3"/>
        <v>336</v>
      </c>
      <c r="H94" s="21">
        <f t="shared" si="4"/>
        <v>2576</v>
      </c>
      <c r="I94" s="19">
        <v>2422.1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>
        <v>153.9</v>
      </c>
      <c r="AL94" s="21">
        <f t="shared" si="13"/>
        <v>2576</v>
      </c>
      <c r="AM94" s="21">
        <f t="shared" si="14"/>
        <v>0</v>
      </c>
    </row>
    <row r="95" spans="1:39" x14ac:dyDescent="0.25">
      <c r="A95" s="18">
        <v>46208</v>
      </c>
      <c r="B95" s="59">
        <v>0.12708333333333333</v>
      </c>
      <c r="C95" s="2" t="s">
        <v>292</v>
      </c>
      <c r="D95" s="19">
        <v>3430</v>
      </c>
      <c r="E95" s="19">
        <v>3944.5</v>
      </c>
      <c r="F95" s="21">
        <f t="shared" si="2"/>
        <v>514.5</v>
      </c>
      <c r="G95" s="21">
        <f t="shared" si="3"/>
        <v>514.5</v>
      </c>
      <c r="H95" s="21">
        <f t="shared" si="4"/>
        <v>3944.5</v>
      </c>
      <c r="I95" s="19">
        <v>3944.5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21">
        <f t="shared" si="13"/>
        <v>3944.5</v>
      </c>
      <c r="AM95" s="21">
        <f t="shared" si="14"/>
        <v>0</v>
      </c>
    </row>
    <row r="96" spans="1:39" x14ac:dyDescent="0.25">
      <c r="A96" s="18">
        <v>46208</v>
      </c>
      <c r="B96" s="59">
        <v>0.13263888888888889</v>
      </c>
      <c r="C96" s="2" t="s">
        <v>293</v>
      </c>
      <c r="D96" s="19">
        <v>1230</v>
      </c>
      <c r="E96" s="19">
        <v>1414.5</v>
      </c>
      <c r="F96" s="21">
        <f t="shared" si="2"/>
        <v>184.5</v>
      </c>
      <c r="G96" s="21">
        <f t="shared" si="3"/>
        <v>184.5</v>
      </c>
      <c r="H96" s="21">
        <f t="shared" si="4"/>
        <v>1414.5</v>
      </c>
      <c r="I96" s="19">
        <v>1414.5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21">
        <f t="shared" si="13"/>
        <v>1414.5</v>
      </c>
      <c r="AM96" s="21">
        <f t="shared" si="14"/>
        <v>0</v>
      </c>
    </row>
    <row r="97" spans="1:43" x14ac:dyDescent="0.25">
      <c r="A97" s="18">
        <v>46208</v>
      </c>
      <c r="B97" s="59">
        <v>0.13472222222222222</v>
      </c>
      <c r="C97" s="2" t="s">
        <v>294</v>
      </c>
      <c r="D97" s="19">
        <v>1200</v>
      </c>
      <c r="E97" s="19">
        <v>1380</v>
      </c>
      <c r="F97" s="21">
        <f t="shared" si="2"/>
        <v>180</v>
      </c>
      <c r="G97" s="21">
        <f t="shared" si="3"/>
        <v>180</v>
      </c>
      <c r="H97" s="21">
        <f t="shared" si="4"/>
        <v>1380</v>
      </c>
      <c r="I97" s="19">
        <v>1273.5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>
        <v>106.5</v>
      </c>
      <c r="AL97" s="21">
        <f t="shared" si="13"/>
        <v>1380</v>
      </c>
      <c r="AM97" s="21">
        <f t="shared" si="14"/>
        <v>0</v>
      </c>
    </row>
    <row r="98" spans="1:43" x14ac:dyDescent="0.25">
      <c r="A98" s="18">
        <v>46208</v>
      </c>
      <c r="B98" s="59">
        <v>0.1361111111111111</v>
      </c>
      <c r="C98" s="2" t="s">
        <v>295</v>
      </c>
      <c r="D98" s="19">
        <v>1320</v>
      </c>
      <c r="E98" s="19">
        <v>1518</v>
      </c>
      <c r="F98" s="21">
        <f t="shared" si="2"/>
        <v>198</v>
      </c>
      <c r="G98" s="21">
        <f t="shared" si="3"/>
        <v>198</v>
      </c>
      <c r="H98" s="21">
        <f t="shared" si="4"/>
        <v>1518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>
        <v>1518</v>
      </c>
      <c r="AL98" s="21">
        <f t="shared" si="13"/>
        <v>1518</v>
      </c>
      <c r="AM98" s="21">
        <f t="shared" si="14"/>
        <v>0</v>
      </c>
    </row>
    <row r="99" spans="1:43" x14ac:dyDescent="0.25">
      <c r="A99" s="18">
        <v>46208</v>
      </c>
      <c r="B99" s="59">
        <v>0.13750000000000001</v>
      </c>
      <c r="C99" s="2" t="s">
        <v>296</v>
      </c>
      <c r="D99" s="19">
        <v>80</v>
      </c>
      <c r="E99" s="19">
        <v>92</v>
      </c>
      <c r="F99" s="21">
        <f t="shared" si="2"/>
        <v>12</v>
      </c>
      <c r="G99" s="21">
        <f t="shared" si="3"/>
        <v>12</v>
      </c>
      <c r="H99" s="21">
        <f t="shared" si="4"/>
        <v>92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>
        <v>92</v>
      </c>
      <c r="AL99" s="21">
        <f t="shared" si="13"/>
        <v>92</v>
      </c>
      <c r="AM99" s="21">
        <f t="shared" si="14"/>
        <v>0</v>
      </c>
    </row>
    <row r="100" spans="1:43" x14ac:dyDescent="0.25">
      <c r="A100" s="18">
        <v>46208</v>
      </c>
      <c r="B100" s="59">
        <v>0.13819444444444445</v>
      </c>
      <c r="C100" s="2" t="s">
        <v>297</v>
      </c>
      <c r="D100" s="19">
        <v>325</v>
      </c>
      <c r="E100" s="19">
        <v>373.75</v>
      </c>
      <c r="F100" s="21">
        <f t="shared" si="2"/>
        <v>48.75</v>
      </c>
      <c r="G100" s="21">
        <f t="shared" si="3"/>
        <v>48.75</v>
      </c>
      <c r="H100" s="21">
        <f t="shared" si="4"/>
        <v>373.75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>
        <v>373.75</v>
      </c>
      <c r="AL100" s="21">
        <f t="shared" si="13"/>
        <v>373.75</v>
      </c>
      <c r="AM100" s="21">
        <f t="shared" si="14"/>
        <v>0</v>
      </c>
    </row>
    <row r="101" spans="1:43" x14ac:dyDescent="0.25">
      <c r="A101" s="18">
        <v>46208</v>
      </c>
      <c r="B101" s="59">
        <v>0.1388888888888889</v>
      </c>
      <c r="C101" s="2" t="s">
        <v>298</v>
      </c>
      <c r="D101" s="19">
        <v>1200</v>
      </c>
      <c r="E101" s="19">
        <v>1380</v>
      </c>
      <c r="F101" s="21">
        <f t="shared" si="2"/>
        <v>180</v>
      </c>
      <c r="G101" s="21">
        <f t="shared" si="3"/>
        <v>180</v>
      </c>
      <c r="H101" s="21">
        <f t="shared" si="4"/>
        <v>1380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>
        <v>1380</v>
      </c>
      <c r="AL101" s="21">
        <f t="shared" ref="AL101:AL105" si="15">SUM(I101:AK101)</f>
        <v>1380</v>
      </c>
      <c r="AM101" s="21">
        <f t="shared" ref="AM101:AM105" si="16">+AL101-E101</f>
        <v>0</v>
      </c>
    </row>
    <row r="102" spans="1:43" x14ac:dyDescent="0.25">
      <c r="A102" s="18">
        <v>46208</v>
      </c>
      <c r="B102" s="59">
        <v>0.14027777777777778</v>
      </c>
      <c r="C102" s="2" t="s">
        <v>299</v>
      </c>
      <c r="D102" s="19">
        <v>1360</v>
      </c>
      <c r="E102" s="19">
        <v>1564</v>
      </c>
      <c r="F102" s="21">
        <f t="shared" si="2"/>
        <v>204</v>
      </c>
      <c r="G102" s="21">
        <f t="shared" si="3"/>
        <v>204</v>
      </c>
      <c r="H102" s="21">
        <f t="shared" si="4"/>
        <v>1564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>
        <v>1564</v>
      </c>
      <c r="AL102" s="21">
        <f t="shared" si="15"/>
        <v>1564</v>
      </c>
      <c r="AM102" s="21">
        <f t="shared" si="16"/>
        <v>0</v>
      </c>
    </row>
    <row r="103" spans="1:43" x14ac:dyDescent="0.25">
      <c r="A103" s="18">
        <v>46208</v>
      </c>
      <c r="B103" s="59">
        <v>0.14097222222222222</v>
      </c>
      <c r="C103" s="2" t="s">
        <v>300</v>
      </c>
      <c r="D103" s="19">
        <v>600</v>
      </c>
      <c r="E103" s="19">
        <v>660</v>
      </c>
      <c r="F103" s="21">
        <f t="shared" si="2"/>
        <v>60</v>
      </c>
      <c r="G103" s="21">
        <f t="shared" si="3"/>
        <v>90</v>
      </c>
      <c r="H103" s="21">
        <f t="shared" si="4"/>
        <v>690</v>
      </c>
      <c r="I103" s="19">
        <v>660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21">
        <f t="shared" si="15"/>
        <v>660</v>
      </c>
      <c r="AM103" s="21">
        <f t="shared" si="16"/>
        <v>0</v>
      </c>
      <c r="AQ103" t="s">
        <v>14</v>
      </c>
    </row>
    <row r="104" spans="1:43" x14ac:dyDescent="0.25">
      <c r="A104" s="18">
        <v>46208</v>
      </c>
      <c r="B104" s="59">
        <v>0.1423611111111111</v>
      </c>
      <c r="C104" s="2" t="s">
        <v>301</v>
      </c>
      <c r="D104" s="19">
        <v>1440</v>
      </c>
      <c r="E104" s="19">
        <v>1656</v>
      </c>
      <c r="F104" s="21">
        <f t="shared" si="2"/>
        <v>216</v>
      </c>
      <c r="G104" s="21">
        <f t="shared" si="3"/>
        <v>216</v>
      </c>
      <c r="H104" s="21">
        <f t="shared" si="4"/>
        <v>1656</v>
      </c>
      <c r="I104" s="19">
        <v>1656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21">
        <f t="shared" si="15"/>
        <v>1656</v>
      </c>
      <c r="AM104" s="21">
        <f t="shared" si="16"/>
        <v>0</v>
      </c>
    </row>
    <row r="105" spans="1:43" x14ac:dyDescent="0.25">
      <c r="A105" s="18">
        <v>46208</v>
      </c>
      <c r="B105" s="59">
        <v>0.14374999999999999</v>
      </c>
      <c r="C105" s="2" t="s">
        <v>302</v>
      </c>
      <c r="D105" s="19">
        <v>200</v>
      </c>
      <c r="E105" s="19">
        <v>264.5</v>
      </c>
      <c r="F105" s="21">
        <f t="shared" si="2"/>
        <v>64.5</v>
      </c>
      <c r="G105" s="21">
        <f t="shared" si="3"/>
        <v>30</v>
      </c>
      <c r="H105" s="21">
        <f t="shared" si="4"/>
        <v>230</v>
      </c>
      <c r="I105" s="19">
        <v>264.5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21">
        <f t="shared" si="15"/>
        <v>264.5</v>
      </c>
      <c r="AM105" s="21">
        <f t="shared" si="16"/>
        <v>0</v>
      </c>
    </row>
    <row r="106" spans="1:43" x14ac:dyDescent="0.25">
      <c r="A106" s="18">
        <v>46208</v>
      </c>
      <c r="B106" s="59">
        <v>0.1451388888888889</v>
      </c>
      <c r="C106" s="2" t="s">
        <v>303</v>
      </c>
      <c r="D106" s="19">
        <v>2760</v>
      </c>
      <c r="E106" s="19">
        <v>3174</v>
      </c>
      <c r="F106" s="21">
        <f t="shared" si="2"/>
        <v>414</v>
      </c>
      <c r="G106" s="21">
        <f t="shared" si="3"/>
        <v>414</v>
      </c>
      <c r="H106" s="21">
        <f t="shared" si="4"/>
        <v>3174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>
        <v>3174</v>
      </c>
      <c r="AL106" s="21">
        <f t="shared" si="13"/>
        <v>3174</v>
      </c>
      <c r="AM106" s="21">
        <f t="shared" si="14"/>
        <v>0</v>
      </c>
    </row>
    <row r="107" spans="1:43" ht="15.75" thickBot="1" x14ac:dyDescent="0.3">
      <c r="A107" s="18">
        <v>46208</v>
      </c>
      <c r="B107" s="59">
        <v>0.1451388888888889</v>
      </c>
      <c r="C107" s="2" t="s">
        <v>304</v>
      </c>
      <c r="D107" s="19">
        <v>55</v>
      </c>
      <c r="E107" s="19">
        <v>55</v>
      </c>
      <c r="F107" s="21">
        <f t="shared" si="2"/>
        <v>0</v>
      </c>
      <c r="G107" s="21">
        <f t="shared" si="3"/>
        <v>8.25</v>
      </c>
      <c r="H107" s="21">
        <f t="shared" si="4"/>
        <v>63.25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>
        <v>55</v>
      </c>
      <c r="AL107" s="21">
        <f t="shared" si="13"/>
        <v>55</v>
      </c>
      <c r="AM107" s="21">
        <f t="shared" si="14"/>
        <v>0</v>
      </c>
    </row>
    <row r="108" spans="1:43" s="48" customFormat="1" ht="19.5" thickBot="1" x14ac:dyDescent="0.35">
      <c r="A108" s="67" t="s">
        <v>25</v>
      </c>
      <c r="B108" s="68"/>
      <c r="C108" s="69"/>
      <c r="D108" s="46">
        <f>SUM(D56:D107)</f>
        <v>60020</v>
      </c>
      <c r="E108" s="46">
        <f t="shared" ref="E108:I108" si="17">SUM(E56:E107)</f>
        <v>68236.5</v>
      </c>
      <c r="F108" s="46">
        <f>SUM(F56:F107)</f>
        <v>8216.5</v>
      </c>
      <c r="G108" s="46">
        <f t="shared" si="17"/>
        <v>9003</v>
      </c>
      <c r="H108" s="46">
        <f t="shared" si="17"/>
        <v>69023</v>
      </c>
      <c r="I108" s="46">
        <f t="shared" si="17"/>
        <v>36630.85</v>
      </c>
      <c r="J108" s="46"/>
      <c r="K108" s="46"/>
      <c r="L108" s="46"/>
      <c r="M108" s="46">
        <f t="shared" ref="M108" si="18">SUM(M56:M107)</f>
        <v>0</v>
      </c>
      <c r="N108" s="46"/>
      <c r="O108" s="46"/>
      <c r="P108" s="46"/>
      <c r="Q108" s="46">
        <f t="shared" ref="Q108" si="19">SUM(Q56:Q107)</f>
        <v>0</v>
      </c>
      <c r="R108" s="46"/>
      <c r="S108" s="46"/>
      <c r="T108" s="46"/>
      <c r="U108" s="46">
        <f t="shared" ref="U108" si="20">SUM(U56:U107)</f>
        <v>0</v>
      </c>
      <c r="V108" s="46"/>
      <c r="W108" s="46"/>
      <c r="X108" s="46"/>
      <c r="Y108" s="46">
        <f t="shared" ref="Y108" si="21">SUM(Y56:Y107)</f>
        <v>0</v>
      </c>
      <c r="Z108" s="46"/>
      <c r="AA108" s="46"/>
      <c r="AB108" s="46"/>
      <c r="AC108" s="46">
        <f t="shared" ref="AC108" si="22">SUM(AC56:AC107)</f>
        <v>0</v>
      </c>
      <c r="AD108" s="46"/>
      <c r="AE108" s="46"/>
      <c r="AF108" s="46"/>
      <c r="AG108" s="46">
        <f t="shared" ref="AG108" si="23">SUM(AG56:AG107)</f>
        <v>0</v>
      </c>
      <c r="AH108" s="46"/>
      <c r="AI108" s="46"/>
      <c r="AJ108" s="46"/>
      <c r="AK108" s="46">
        <f t="shared" ref="AK108:AM108" si="24">SUM(AK56:AK107)</f>
        <v>31300.9</v>
      </c>
      <c r="AL108" s="46">
        <f t="shared" si="24"/>
        <v>68236.5</v>
      </c>
      <c r="AM108" s="46">
        <f t="shared" si="24"/>
        <v>0</v>
      </c>
    </row>
    <row r="109" spans="1:43" x14ac:dyDescent="0.25">
      <c r="A109" s="18">
        <v>46208</v>
      </c>
      <c r="B109" s="59">
        <v>0.74930555555555556</v>
      </c>
      <c r="C109" s="2" t="s">
        <v>305</v>
      </c>
      <c r="D109" s="19">
        <v>460</v>
      </c>
      <c r="E109" s="19">
        <v>529</v>
      </c>
      <c r="F109" s="19">
        <f t="shared" ref="F109" si="25">+E109-D109</f>
        <v>69</v>
      </c>
      <c r="G109" s="19">
        <f t="shared" ref="G109" si="26">+D109*0.15</f>
        <v>69</v>
      </c>
      <c r="H109" s="19">
        <f t="shared" ref="H109" si="27">+D109+G109</f>
        <v>529</v>
      </c>
      <c r="I109" s="19">
        <v>0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>
        <v>529</v>
      </c>
      <c r="AL109" s="19">
        <f t="shared" ref="AL109" si="28">SUM(I109:AK109)</f>
        <v>529</v>
      </c>
      <c r="AM109" s="19">
        <f t="shared" ref="AM109" si="29">+AL109-E109</f>
        <v>0</v>
      </c>
    </row>
    <row r="110" spans="1:43" x14ac:dyDescent="0.25">
      <c r="A110" s="18">
        <v>46208</v>
      </c>
      <c r="B110" s="59">
        <v>0.89097222222222228</v>
      </c>
      <c r="C110" s="2" t="s">
        <v>306</v>
      </c>
      <c r="D110" s="19">
        <v>140</v>
      </c>
      <c r="E110" s="19">
        <v>161</v>
      </c>
      <c r="F110" s="19">
        <f t="shared" ref="F110" si="30">+E110-D110</f>
        <v>21</v>
      </c>
      <c r="G110" s="19">
        <f t="shared" ref="G110" si="31">+D110*0.15</f>
        <v>21</v>
      </c>
      <c r="H110" s="19">
        <f t="shared" ref="H110" si="32">+D110+G110</f>
        <v>161</v>
      </c>
      <c r="I110" s="19">
        <v>100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>
        <v>61</v>
      </c>
      <c r="AL110" s="19">
        <f t="shared" ref="AL110" si="33">SUM(I110:AK110)</f>
        <v>161</v>
      </c>
      <c r="AM110" s="19">
        <f t="shared" ref="AM110" si="34">+AL110-E110</f>
        <v>0</v>
      </c>
    </row>
    <row r="111" spans="1:43" x14ac:dyDescent="0.25">
      <c r="A111" s="18">
        <v>46208</v>
      </c>
      <c r="B111" s="59">
        <v>0.96458333333333335</v>
      </c>
      <c r="C111" s="2" t="s">
        <v>307</v>
      </c>
      <c r="D111" s="19">
        <v>2454</v>
      </c>
      <c r="E111" s="19">
        <v>2822.1</v>
      </c>
      <c r="F111" s="19">
        <f t="shared" ref="F111:F137" si="35">+E111-D111</f>
        <v>368.09999999999991</v>
      </c>
      <c r="G111" s="19">
        <f t="shared" ref="G111:G137" si="36">+D111*0.15</f>
        <v>368.09999999999997</v>
      </c>
      <c r="H111" s="19">
        <f t="shared" ref="H111:H137" si="37">+D111+G111</f>
        <v>2822.1</v>
      </c>
      <c r="I111" s="19">
        <v>2460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>
        <v>362.1</v>
      </c>
      <c r="AL111" s="19">
        <f t="shared" ref="AL111:AL137" si="38">SUM(I111:AK111)</f>
        <v>2822.1</v>
      </c>
      <c r="AM111" s="19">
        <f t="shared" ref="AM111:AM137" si="39">+AL111-E111</f>
        <v>0</v>
      </c>
    </row>
    <row r="112" spans="1:43" x14ac:dyDescent="0.25">
      <c r="A112" s="18">
        <v>46208</v>
      </c>
      <c r="B112" s="59">
        <v>0.96527777777777779</v>
      </c>
      <c r="C112" s="2" t="s">
        <v>308</v>
      </c>
      <c r="D112" s="19">
        <v>350</v>
      </c>
      <c r="E112" s="19">
        <v>402.5</v>
      </c>
      <c r="F112" s="19">
        <f t="shared" si="35"/>
        <v>52.5</v>
      </c>
      <c r="G112" s="19">
        <f t="shared" si="36"/>
        <v>52.5</v>
      </c>
      <c r="H112" s="19">
        <f t="shared" si="37"/>
        <v>402.5</v>
      </c>
      <c r="I112" s="19">
        <v>0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>
        <v>402.5</v>
      </c>
      <c r="AL112" s="19">
        <f t="shared" si="38"/>
        <v>402.5</v>
      </c>
      <c r="AM112" s="19">
        <f t="shared" si="39"/>
        <v>0</v>
      </c>
    </row>
    <row r="113" spans="1:39" x14ac:dyDescent="0.25">
      <c r="A113" s="18">
        <v>46208</v>
      </c>
      <c r="B113" s="59">
        <v>0.96875</v>
      </c>
      <c r="C113" s="2" t="s">
        <v>309</v>
      </c>
      <c r="D113" s="19">
        <v>4790</v>
      </c>
      <c r="E113" s="19">
        <v>5508.5</v>
      </c>
      <c r="F113" s="19">
        <f t="shared" si="35"/>
        <v>718.5</v>
      </c>
      <c r="G113" s="19">
        <f t="shared" si="36"/>
        <v>718.5</v>
      </c>
      <c r="H113" s="19">
        <f t="shared" si="37"/>
        <v>5508.5</v>
      </c>
      <c r="I113" s="19">
        <v>4651.5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>
        <v>857</v>
      </c>
      <c r="AL113" s="19">
        <f t="shared" si="38"/>
        <v>5508.5</v>
      </c>
      <c r="AM113" s="19">
        <f t="shared" si="39"/>
        <v>0</v>
      </c>
    </row>
    <row r="114" spans="1:39" x14ac:dyDescent="0.25">
      <c r="A114" s="18">
        <v>46208</v>
      </c>
      <c r="B114" s="59">
        <v>0.97013888888888888</v>
      </c>
      <c r="C114" s="2" t="s">
        <v>310</v>
      </c>
      <c r="D114" s="19">
        <v>380</v>
      </c>
      <c r="E114" s="19">
        <v>437</v>
      </c>
      <c r="F114" s="19">
        <f t="shared" si="35"/>
        <v>57</v>
      </c>
      <c r="G114" s="19">
        <f t="shared" si="36"/>
        <v>57</v>
      </c>
      <c r="H114" s="19">
        <f t="shared" si="37"/>
        <v>437</v>
      </c>
      <c r="I114" s="19">
        <v>0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>
        <v>437</v>
      </c>
      <c r="AL114" s="19">
        <f t="shared" si="38"/>
        <v>437</v>
      </c>
      <c r="AM114" s="19">
        <f t="shared" si="39"/>
        <v>0</v>
      </c>
    </row>
    <row r="115" spans="1:39" x14ac:dyDescent="0.25">
      <c r="A115" s="18">
        <v>46208</v>
      </c>
      <c r="B115" s="59">
        <v>0.98333333333333328</v>
      </c>
      <c r="C115" s="2" t="s">
        <v>311</v>
      </c>
      <c r="D115" s="19">
        <v>340</v>
      </c>
      <c r="E115" s="19">
        <v>340</v>
      </c>
      <c r="F115" s="19">
        <f t="shared" si="35"/>
        <v>0</v>
      </c>
      <c r="G115" s="19">
        <f t="shared" si="36"/>
        <v>51</v>
      </c>
      <c r="H115" s="19">
        <f t="shared" si="37"/>
        <v>391</v>
      </c>
      <c r="I115" s="19">
        <v>340</v>
      </c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>
        <f t="shared" si="38"/>
        <v>340</v>
      </c>
      <c r="AM115" s="19">
        <f t="shared" si="39"/>
        <v>0</v>
      </c>
    </row>
    <row r="116" spans="1:39" x14ac:dyDescent="0.25">
      <c r="A116" s="18">
        <v>46208</v>
      </c>
      <c r="B116" s="59">
        <v>0.98402777777777772</v>
      </c>
      <c r="C116" s="2" t="s">
        <v>312</v>
      </c>
      <c r="D116" s="19">
        <v>2320</v>
      </c>
      <c r="E116" s="19">
        <v>2668</v>
      </c>
      <c r="F116" s="19">
        <f t="shared" si="35"/>
        <v>348</v>
      </c>
      <c r="G116" s="19">
        <f t="shared" si="36"/>
        <v>348</v>
      </c>
      <c r="H116" s="19">
        <f t="shared" si="37"/>
        <v>2668</v>
      </c>
      <c r="I116" s="19">
        <v>2168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>
        <v>500</v>
      </c>
      <c r="AL116" s="19">
        <f t="shared" si="38"/>
        <v>2668</v>
      </c>
      <c r="AM116" s="19">
        <f t="shared" si="39"/>
        <v>0</v>
      </c>
    </row>
    <row r="117" spans="1:39" x14ac:dyDescent="0.25">
      <c r="A117" s="18">
        <v>46208</v>
      </c>
      <c r="B117" s="59">
        <v>0.4861111111111111</v>
      </c>
      <c r="C117" s="2" t="s">
        <v>313</v>
      </c>
      <c r="D117" s="19">
        <v>110</v>
      </c>
      <c r="E117" s="19">
        <v>126.5</v>
      </c>
      <c r="F117" s="19">
        <f t="shared" si="35"/>
        <v>16.5</v>
      </c>
      <c r="G117" s="19">
        <f t="shared" si="36"/>
        <v>16.5</v>
      </c>
      <c r="H117" s="19">
        <f t="shared" si="37"/>
        <v>126.5</v>
      </c>
      <c r="I117" s="19">
        <v>0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>
        <v>126.5</v>
      </c>
      <c r="AM117" s="19">
        <f t="shared" si="39"/>
        <v>0</v>
      </c>
    </row>
    <row r="118" spans="1:39" x14ac:dyDescent="0.25">
      <c r="A118" s="18">
        <v>46208</v>
      </c>
      <c r="B118" s="59">
        <v>0.98750000000000004</v>
      </c>
      <c r="C118" s="2" t="s">
        <v>314</v>
      </c>
      <c r="D118" s="19">
        <v>55</v>
      </c>
      <c r="E118" s="19">
        <v>55</v>
      </c>
      <c r="F118" s="19">
        <f t="shared" si="35"/>
        <v>0</v>
      </c>
      <c r="G118" s="19">
        <f t="shared" si="36"/>
        <v>8.25</v>
      </c>
      <c r="H118" s="19">
        <f t="shared" si="37"/>
        <v>63.25</v>
      </c>
      <c r="I118" s="19">
        <v>0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>
        <v>55</v>
      </c>
      <c r="AL118" s="19">
        <f t="shared" si="38"/>
        <v>55</v>
      </c>
      <c r="AM118" s="19">
        <f t="shared" si="39"/>
        <v>0</v>
      </c>
    </row>
    <row r="119" spans="1:39" x14ac:dyDescent="0.25">
      <c r="A119" s="18">
        <v>46208</v>
      </c>
      <c r="B119" s="59">
        <v>0.98958333333333337</v>
      </c>
      <c r="C119" s="2" t="s">
        <v>315</v>
      </c>
      <c r="D119" s="19">
        <v>510</v>
      </c>
      <c r="E119" s="19">
        <v>612</v>
      </c>
      <c r="F119" s="19">
        <f t="shared" si="35"/>
        <v>102</v>
      </c>
      <c r="G119" s="19">
        <f t="shared" si="36"/>
        <v>76.5</v>
      </c>
      <c r="H119" s="19">
        <f t="shared" si="37"/>
        <v>586.5</v>
      </c>
      <c r="I119" s="19">
        <v>612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>
        <f t="shared" si="38"/>
        <v>612</v>
      </c>
      <c r="AM119" s="19">
        <f t="shared" si="39"/>
        <v>0</v>
      </c>
    </row>
    <row r="120" spans="1:39" x14ac:dyDescent="0.25">
      <c r="A120" s="18">
        <v>46209</v>
      </c>
      <c r="B120" s="59">
        <v>4.1666666666666666E-3</v>
      </c>
      <c r="C120" s="2" t="s">
        <v>316</v>
      </c>
      <c r="D120" s="19">
        <v>200</v>
      </c>
      <c r="E120" s="19">
        <v>200</v>
      </c>
      <c r="F120" s="19">
        <f t="shared" si="35"/>
        <v>0</v>
      </c>
      <c r="G120" s="19">
        <f t="shared" si="36"/>
        <v>30</v>
      </c>
      <c r="H120" s="19">
        <f t="shared" si="37"/>
        <v>230</v>
      </c>
      <c r="I120" s="19">
        <v>0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>
        <v>200</v>
      </c>
      <c r="AL120" s="19">
        <f t="shared" si="38"/>
        <v>200</v>
      </c>
      <c r="AM120" s="19">
        <f t="shared" si="39"/>
        <v>0</v>
      </c>
    </row>
    <row r="121" spans="1:39" x14ac:dyDescent="0.25">
      <c r="A121" s="18">
        <v>46209</v>
      </c>
      <c r="B121" s="59">
        <v>1.1111111111111112E-2</v>
      </c>
      <c r="C121" s="2" t="s">
        <v>317</v>
      </c>
      <c r="D121" s="19">
        <v>2490</v>
      </c>
      <c r="E121" s="19">
        <v>2863.5</v>
      </c>
      <c r="F121" s="19">
        <f t="shared" si="35"/>
        <v>373.5</v>
      </c>
      <c r="G121" s="19">
        <f t="shared" si="36"/>
        <v>373.5</v>
      </c>
      <c r="H121" s="19">
        <f t="shared" si="37"/>
        <v>2863.5</v>
      </c>
      <c r="I121" s="19">
        <v>0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>
        <v>2863.5</v>
      </c>
      <c r="AM121" s="19">
        <f t="shared" si="39"/>
        <v>0</v>
      </c>
    </row>
    <row r="122" spans="1:39" x14ac:dyDescent="0.25">
      <c r="A122" s="18">
        <v>46209</v>
      </c>
      <c r="B122" s="59">
        <v>1.8055555555555554E-2</v>
      </c>
      <c r="C122" s="2" t="s">
        <v>318</v>
      </c>
      <c r="D122" s="19">
        <v>2440</v>
      </c>
      <c r="E122" s="19">
        <v>2806</v>
      </c>
      <c r="F122" s="19">
        <f t="shared" si="35"/>
        <v>366</v>
      </c>
      <c r="G122" s="19">
        <f t="shared" si="36"/>
        <v>366</v>
      </c>
      <c r="H122" s="19">
        <f t="shared" si="37"/>
        <v>2806</v>
      </c>
      <c r="I122" s="19">
        <v>1780</v>
      </c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>
        <v>1026</v>
      </c>
      <c r="AL122" s="19">
        <f t="shared" si="38"/>
        <v>2806</v>
      </c>
      <c r="AM122" s="19">
        <f t="shared" si="39"/>
        <v>0</v>
      </c>
    </row>
    <row r="123" spans="1:39" x14ac:dyDescent="0.25">
      <c r="A123" s="18">
        <v>46209</v>
      </c>
      <c r="B123" s="59">
        <v>1.8749999999999999E-2</v>
      </c>
      <c r="C123" s="2" t="s">
        <v>319</v>
      </c>
      <c r="D123" s="19">
        <v>4590</v>
      </c>
      <c r="E123" s="19">
        <v>5278.5</v>
      </c>
      <c r="F123" s="19">
        <f t="shared" si="35"/>
        <v>688.5</v>
      </c>
      <c r="G123" s="19">
        <f t="shared" si="36"/>
        <v>688.5</v>
      </c>
      <c r="H123" s="19">
        <f t="shared" si="37"/>
        <v>5278.5</v>
      </c>
      <c r="I123" s="19">
        <v>5278.5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>
        <f t="shared" si="38"/>
        <v>5278.5</v>
      </c>
      <c r="AM123" s="19">
        <f t="shared" si="39"/>
        <v>0</v>
      </c>
    </row>
    <row r="124" spans="1:39" x14ac:dyDescent="0.25">
      <c r="A124" s="18">
        <v>46209</v>
      </c>
      <c r="B124" s="59">
        <v>2.4305555555555556E-2</v>
      </c>
      <c r="C124" s="2" t="s">
        <v>320</v>
      </c>
      <c r="D124" s="19">
        <v>3800</v>
      </c>
      <c r="E124" s="19">
        <v>4370</v>
      </c>
      <c r="F124" s="19">
        <f t="shared" si="35"/>
        <v>570</v>
      </c>
      <c r="G124" s="19">
        <f t="shared" si="36"/>
        <v>570</v>
      </c>
      <c r="H124" s="19">
        <f t="shared" si="37"/>
        <v>4370</v>
      </c>
      <c r="I124" s="19">
        <v>1300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>
        <v>3070</v>
      </c>
      <c r="AL124" s="19">
        <f t="shared" si="38"/>
        <v>4370</v>
      </c>
      <c r="AM124" s="19">
        <f t="shared" si="39"/>
        <v>0</v>
      </c>
    </row>
    <row r="125" spans="1:39" x14ac:dyDescent="0.25">
      <c r="A125" s="18">
        <v>46209</v>
      </c>
      <c r="B125" s="59">
        <v>2.6388888888888889E-2</v>
      </c>
      <c r="C125" s="2" t="s">
        <v>321</v>
      </c>
      <c r="D125" s="19">
        <v>1200</v>
      </c>
      <c r="E125" s="19">
        <v>1380</v>
      </c>
      <c r="F125" s="19">
        <f t="shared" si="35"/>
        <v>180</v>
      </c>
      <c r="G125" s="19">
        <f t="shared" si="36"/>
        <v>180</v>
      </c>
      <c r="H125" s="19">
        <f t="shared" si="37"/>
        <v>1380</v>
      </c>
      <c r="I125" s="19">
        <v>300</v>
      </c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>
        <v>1080</v>
      </c>
      <c r="AL125" s="19">
        <f t="shared" si="38"/>
        <v>1380</v>
      </c>
      <c r="AM125" s="19">
        <f t="shared" si="39"/>
        <v>0</v>
      </c>
    </row>
    <row r="126" spans="1:39" x14ac:dyDescent="0.25">
      <c r="A126" s="18">
        <v>46209</v>
      </c>
      <c r="B126" s="59">
        <v>2.7777777777777776E-2</v>
      </c>
      <c r="C126" s="2" t="s">
        <v>322</v>
      </c>
      <c r="D126" s="19">
        <v>1370</v>
      </c>
      <c r="E126" s="19">
        <v>1575.5</v>
      </c>
      <c r="F126" s="19">
        <f t="shared" si="35"/>
        <v>205.5</v>
      </c>
      <c r="G126" s="19">
        <f t="shared" si="36"/>
        <v>205.5</v>
      </c>
      <c r="H126" s="19">
        <f t="shared" si="37"/>
        <v>1575.5</v>
      </c>
      <c r="I126" s="19">
        <v>1575.5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>
        <f t="shared" si="38"/>
        <v>1575.5</v>
      </c>
      <c r="AM126" s="19">
        <f t="shared" si="39"/>
        <v>0</v>
      </c>
    </row>
    <row r="127" spans="1:39" x14ac:dyDescent="0.25">
      <c r="A127" s="18">
        <v>46209</v>
      </c>
      <c r="B127" s="59">
        <v>3.3333333333333333E-2</v>
      </c>
      <c r="C127" s="2" t="s">
        <v>323</v>
      </c>
      <c r="D127" s="19">
        <v>2400</v>
      </c>
      <c r="E127" s="19">
        <v>2760</v>
      </c>
      <c r="F127" s="19">
        <f t="shared" ref="F127" si="40">+E127-D127</f>
        <v>360</v>
      </c>
      <c r="G127" s="19">
        <f t="shared" ref="G127" si="41">+D127*0.15</f>
        <v>360</v>
      </c>
      <c r="H127" s="19">
        <f t="shared" ref="H127" si="42">+D127+G127</f>
        <v>2760</v>
      </c>
      <c r="I127" s="19">
        <v>2760</v>
      </c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>
        <f t="shared" ref="AL127" si="43">SUM(I127:AK127)</f>
        <v>2760</v>
      </c>
      <c r="AM127" s="19">
        <f t="shared" ref="AM127" si="44">+AL127-E127</f>
        <v>0</v>
      </c>
    </row>
    <row r="128" spans="1:39" x14ac:dyDescent="0.25">
      <c r="A128" s="18">
        <v>46209</v>
      </c>
      <c r="B128" s="59">
        <v>3.6805555555555557E-2</v>
      </c>
      <c r="C128" s="2" t="s">
        <v>324</v>
      </c>
      <c r="D128" s="19">
        <v>160</v>
      </c>
      <c r="E128" s="19">
        <v>184</v>
      </c>
      <c r="F128" s="19">
        <f t="shared" si="35"/>
        <v>24</v>
      </c>
      <c r="G128" s="19">
        <f t="shared" si="36"/>
        <v>24</v>
      </c>
      <c r="H128" s="19">
        <f t="shared" si="37"/>
        <v>184</v>
      </c>
      <c r="I128" s="19">
        <v>0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>
        <v>184</v>
      </c>
      <c r="AL128" s="19">
        <f t="shared" si="38"/>
        <v>184</v>
      </c>
      <c r="AM128" s="19">
        <f t="shared" si="39"/>
        <v>0</v>
      </c>
    </row>
    <row r="129" spans="1:39" x14ac:dyDescent="0.25">
      <c r="A129" s="18">
        <v>46209</v>
      </c>
      <c r="B129" s="59">
        <v>4.791666666666667E-2</v>
      </c>
      <c r="C129" s="2" t="s">
        <v>325</v>
      </c>
      <c r="D129" s="19">
        <v>160</v>
      </c>
      <c r="E129" s="19">
        <v>184</v>
      </c>
      <c r="F129" s="19">
        <f t="shared" si="35"/>
        <v>24</v>
      </c>
      <c r="G129" s="19">
        <f t="shared" si="36"/>
        <v>24</v>
      </c>
      <c r="H129" s="19">
        <f t="shared" si="37"/>
        <v>184</v>
      </c>
      <c r="I129" s="19">
        <v>0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>
        <v>184</v>
      </c>
      <c r="AL129" s="19">
        <f t="shared" si="38"/>
        <v>184</v>
      </c>
      <c r="AM129" s="19">
        <f t="shared" si="39"/>
        <v>0</v>
      </c>
    </row>
    <row r="130" spans="1:39" x14ac:dyDescent="0.25">
      <c r="A130" s="18">
        <v>46209</v>
      </c>
      <c r="B130" s="59">
        <v>4.9305555555555554E-2</v>
      </c>
      <c r="C130" s="2" t="s">
        <v>326</v>
      </c>
      <c r="D130" s="19">
        <v>100</v>
      </c>
      <c r="E130" s="19">
        <v>100</v>
      </c>
      <c r="F130" s="19">
        <f t="shared" si="35"/>
        <v>0</v>
      </c>
      <c r="G130" s="19">
        <f t="shared" si="36"/>
        <v>15</v>
      </c>
      <c r="H130" s="19">
        <f t="shared" si="37"/>
        <v>115</v>
      </c>
      <c r="I130" s="19">
        <v>0</v>
      </c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>
        <v>100</v>
      </c>
      <c r="AL130" s="19">
        <f t="shared" si="38"/>
        <v>100</v>
      </c>
      <c r="AM130" s="19">
        <f t="shared" si="39"/>
        <v>0</v>
      </c>
    </row>
    <row r="131" spans="1:39" x14ac:dyDescent="0.25">
      <c r="A131" s="18">
        <v>46209</v>
      </c>
      <c r="B131" s="59">
        <v>6.1111111111111109E-2</v>
      </c>
      <c r="C131" s="2" t="s">
        <v>327</v>
      </c>
      <c r="D131" s="19">
        <v>2940</v>
      </c>
      <c r="E131" s="19">
        <v>3381</v>
      </c>
      <c r="F131" s="19">
        <f t="shared" si="35"/>
        <v>441</v>
      </c>
      <c r="G131" s="19">
        <f t="shared" si="36"/>
        <v>441</v>
      </c>
      <c r="H131" s="19">
        <f t="shared" si="37"/>
        <v>3381</v>
      </c>
      <c r="I131" s="19">
        <v>3346.6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>
        <v>34.4</v>
      </c>
      <c r="AL131" s="19">
        <f t="shared" si="38"/>
        <v>3381</v>
      </c>
      <c r="AM131" s="19">
        <f t="shared" si="39"/>
        <v>0</v>
      </c>
    </row>
    <row r="132" spans="1:39" x14ac:dyDescent="0.25">
      <c r="A132" s="18">
        <v>46209</v>
      </c>
      <c r="B132" s="59">
        <v>6.3888888888888884E-2</v>
      </c>
      <c r="C132" s="2" t="s">
        <v>328</v>
      </c>
      <c r="D132" s="19">
        <v>1280</v>
      </c>
      <c r="E132" s="19">
        <v>1472</v>
      </c>
      <c r="F132" s="19">
        <f t="shared" si="35"/>
        <v>192</v>
      </c>
      <c r="G132" s="19">
        <f t="shared" si="36"/>
        <v>192</v>
      </c>
      <c r="H132" s="19">
        <f t="shared" si="37"/>
        <v>1472</v>
      </c>
      <c r="I132" s="19">
        <v>1000</v>
      </c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>
        <v>472</v>
      </c>
      <c r="AL132" s="19">
        <f t="shared" si="38"/>
        <v>1472</v>
      </c>
      <c r="AM132" s="19">
        <f t="shared" si="39"/>
        <v>0</v>
      </c>
    </row>
    <row r="133" spans="1:39" x14ac:dyDescent="0.25">
      <c r="A133" s="18">
        <v>46209</v>
      </c>
      <c r="B133" s="59">
        <v>6.8750000000000006E-2</v>
      </c>
      <c r="C133" s="2" t="s">
        <v>329</v>
      </c>
      <c r="D133" s="19">
        <v>5440</v>
      </c>
      <c r="E133" s="19">
        <v>6256</v>
      </c>
      <c r="F133" s="19">
        <f t="shared" si="35"/>
        <v>816</v>
      </c>
      <c r="G133" s="19">
        <f t="shared" si="36"/>
        <v>816</v>
      </c>
      <c r="H133" s="19">
        <f t="shared" si="37"/>
        <v>6256</v>
      </c>
      <c r="I133" s="19">
        <v>5872</v>
      </c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>
        <v>384</v>
      </c>
      <c r="AL133" s="19">
        <f t="shared" si="38"/>
        <v>6256</v>
      </c>
      <c r="AM133" s="19">
        <f t="shared" si="39"/>
        <v>0</v>
      </c>
    </row>
    <row r="134" spans="1:39" x14ac:dyDescent="0.25">
      <c r="A134" s="18">
        <v>46209</v>
      </c>
      <c r="B134" s="59">
        <v>6.5972222222222224E-2</v>
      </c>
      <c r="C134" s="2" t="s">
        <v>330</v>
      </c>
      <c r="D134" s="19">
        <v>1200</v>
      </c>
      <c r="E134" s="19">
        <v>1380</v>
      </c>
      <c r="F134" s="19">
        <f t="shared" si="35"/>
        <v>180</v>
      </c>
      <c r="G134" s="19">
        <f t="shared" si="36"/>
        <v>180</v>
      </c>
      <c r="H134" s="19">
        <f t="shared" si="37"/>
        <v>1380</v>
      </c>
      <c r="I134" s="19">
        <v>0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>
        <v>1380</v>
      </c>
      <c r="AL134" s="19">
        <f t="shared" si="38"/>
        <v>1380</v>
      </c>
      <c r="AM134" s="19">
        <f t="shared" si="39"/>
        <v>0</v>
      </c>
    </row>
    <row r="135" spans="1:39" x14ac:dyDescent="0.25">
      <c r="A135" s="18">
        <v>46209</v>
      </c>
      <c r="B135" s="59">
        <v>7.1527777777777773E-2</v>
      </c>
      <c r="C135" s="2" t="s">
        <v>331</v>
      </c>
      <c r="D135" s="19">
        <v>1019</v>
      </c>
      <c r="E135" s="19">
        <v>1171.8499999999999</v>
      </c>
      <c r="F135" s="19">
        <f t="shared" si="35"/>
        <v>152.84999999999991</v>
      </c>
      <c r="G135" s="19">
        <f t="shared" si="36"/>
        <v>152.85</v>
      </c>
      <c r="H135" s="19">
        <f t="shared" si="37"/>
        <v>1171.8499999999999</v>
      </c>
      <c r="I135" s="19">
        <v>916</v>
      </c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>
        <v>255.85</v>
      </c>
      <c r="AL135" s="19">
        <f t="shared" si="38"/>
        <v>1171.8499999999999</v>
      </c>
      <c r="AM135" s="19">
        <f t="shared" si="39"/>
        <v>0</v>
      </c>
    </row>
    <row r="136" spans="1:39" x14ac:dyDescent="0.25">
      <c r="A136" s="18">
        <v>46209</v>
      </c>
      <c r="B136" s="59">
        <v>7.4305555555555555E-2</v>
      </c>
      <c r="C136" s="2" t="s">
        <v>332</v>
      </c>
      <c r="D136" s="19">
        <v>800</v>
      </c>
      <c r="E136" s="19">
        <v>920</v>
      </c>
      <c r="F136" s="19">
        <f t="shared" si="35"/>
        <v>120</v>
      </c>
      <c r="G136" s="19">
        <f t="shared" si="36"/>
        <v>120</v>
      </c>
      <c r="H136" s="19">
        <f t="shared" si="37"/>
        <v>920</v>
      </c>
      <c r="I136" s="19">
        <v>0</v>
      </c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>
        <v>920</v>
      </c>
      <c r="AL136" s="19">
        <f t="shared" si="38"/>
        <v>920</v>
      </c>
      <c r="AM136" s="19">
        <f t="shared" si="39"/>
        <v>0</v>
      </c>
    </row>
    <row r="137" spans="1:39" ht="15.75" thickBot="1" x14ac:dyDescent="0.3">
      <c r="A137" s="18">
        <v>46209</v>
      </c>
      <c r="B137" s="59">
        <v>7.5694444444444439E-2</v>
      </c>
      <c r="C137" s="2" t="s">
        <v>333</v>
      </c>
      <c r="D137" s="19">
        <v>330</v>
      </c>
      <c r="E137" s="19">
        <v>379.5</v>
      </c>
      <c r="F137" s="19">
        <f t="shared" si="35"/>
        <v>49.5</v>
      </c>
      <c r="G137" s="19">
        <f t="shared" si="36"/>
        <v>49.5</v>
      </c>
      <c r="H137" s="19">
        <f t="shared" si="37"/>
        <v>379.5</v>
      </c>
      <c r="I137" s="19">
        <v>0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>
        <v>379.5</v>
      </c>
      <c r="AL137" s="19">
        <f t="shared" si="38"/>
        <v>379.5</v>
      </c>
      <c r="AM137" s="19">
        <f t="shared" si="39"/>
        <v>0</v>
      </c>
    </row>
    <row r="138" spans="1:39" s="48" customFormat="1" ht="19.5" thickBot="1" x14ac:dyDescent="0.35">
      <c r="A138" s="67" t="s">
        <v>25</v>
      </c>
      <c r="B138" s="68"/>
      <c r="C138" s="69"/>
      <c r="D138" s="46">
        <f>SUM(D109:D137)</f>
        <v>43828</v>
      </c>
      <c r="E138" s="46">
        <f>SUM(E109:E137)</f>
        <v>50323.45</v>
      </c>
      <c r="F138" s="46">
        <f>SUM(F109:F137)</f>
        <v>6495.4500000000007</v>
      </c>
      <c r="G138" s="46">
        <f>SUM(G80:G137)</f>
        <v>21120.449999999997</v>
      </c>
      <c r="H138" s="46">
        <f>SUM(H80:H137)</f>
        <v>161923.45000000001</v>
      </c>
      <c r="I138" s="46">
        <f>SUM(I109:I137)</f>
        <v>34460.1</v>
      </c>
      <c r="J138" s="46"/>
      <c r="K138" s="46"/>
      <c r="L138" s="46"/>
      <c r="M138" s="46">
        <f>SUM(M109:M137)</f>
        <v>0</v>
      </c>
      <c r="N138" s="46"/>
      <c r="O138" s="46"/>
      <c r="P138" s="46"/>
      <c r="Q138" s="46">
        <f>SUM(Q109:Q137)</f>
        <v>0</v>
      </c>
      <c r="R138" s="46"/>
      <c r="S138" s="46"/>
      <c r="T138" s="46"/>
      <c r="U138" s="46">
        <f>SUM(U109:U137)</f>
        <v>0</v>
      </c>
      <c r="V138" s="46"/>
      <c r="W138" s="46"/>
      <c r="X138" s="46"/>
      <c r="Y138" s="46">
        <f>SUM(Y109:Y137)</f>
        <v>0</v>
      </c>
      <c r="Z138" s="46"/>
      <c r="AA138" s="46"/>
      <c r="AB138" s="46"/>
      <c r="AC138" s="46">
        <f>SUM(AC109:AC137)</f>
        <v>0</v>
      </c>
      <c r="AD138" s="46"/>
      <c r="AE138" s="46"/>
      <c r="AF138" s="46"/>
      <c r="AG138" s="46">
        <f>SUM(AG109:AG137)</f>
        <v>0</v>
      </c>
      <c r="AH138" s="46"/>
      <c r="AI138" s="46"/>
      <c r="AJ138" s="46"/>
      <c r="AK138" s="46">
        <f>SUM(AK109:AK137)</f>
        <v>12873.35</v>
      </c>
      <c r="AL138" s="46">
        <f>SUM(AL109:AL137)</f>
        <v>50323.45</v>
      </c>
      <c r="AM138" s="46">
        <f>SUM(AM109:AM137)</f>
        <v>0</v>
      </c>
    </row>
  </sheetData>
  <mergeCells count="6">
    <mergeCell ref="A138:C138"/>
    <mergeCell ref="A1:AL1"/>
    <mergeCell ref="M3:AK3"/>
    <mergeCell ref="A24:C24"/>
    <mergeCell ref="A55:C55"/>
    <mergeCell ref="A108:C10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B1A8-2F5A-48CC-ABB8-A31F0566B1AC}">
  <sheetPr>
    <tabColor rgb="FFFF0000"/>
  </sheetPr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D7D0-C0BD-44AC-8DB0-F86EB4F2EAAB}">
  <sheetPr>
    <tabColor rgb="FFFF0000"/>
  </sheetPr>
  <dimension ref="A1"/>
  <sheetViews>
    <sheetView workbookViewId="0">
      <selection activeCell="H19" sqref="H19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405C-F6EF-4D0E-8A17-A24AD8A4169C}">
  <sheetPr>
    <tabColor theme="6" tint="0.39997558519241921"/>
  </sheetPr>
  <dimension ref="A1:AQ111"/>
  <sheetViews>
    <sheetView zoomScale="97" workbookViewId="0">
      <pane ySplit="4" topLeftCell="A24" activePane="bottomLeft" state="frozen"/>
      <selection pane="bottomLeft" activeCell="M34" sqref="M34"/>
    </sheetView>
  </sheetViews>
  <sheetFormatPr baseColWidth="10" defaultRowHeight="15" x14ac:dyDescent="0.25"/>
  <cols>
    <col min="1" max="1" width="11.140625" style="14" bestFit="1" customWidth="1"/>
    <col min="2" max="2" width="13" style="52" bestFit="1" customWidth="1"/>
    <col min="3" max="3" width="12" bestFit="1" customWidth="1"/>
    <col min="4" max="5" width="14.42578125" style="20" bestFit="1" customWidth="1"/>
    <col min="6" max="6" width="15.85546875" style="20" bestFit="1" customWidth="1"/>
    <col min="7" max="7" width="19.7109375" style="20" customWidth="1"/>
    <col min="8" max="8" width="18.42578125" style="20" customWidth="1"/>
    <col min="9" max="9" width="14.28515625" style="20" bestFit="1" customWidth="1"/>
    <col min="10" max="10" width="3.140625" style="20" customWidth="1"/>
    <col min="11" max="11" width="2.5703125" style="20" customWidth="1"/>
    <col min="12" max="12" width="2.140625" style="20" bestFit="1" customWidth="1"/>
    <col min="13" max="13" width="14.28515625" style="20" bestFit="1" customWidth="1"/>
    <col min="14" max="14" width="2.140625" style="20" bestFit="1" customWidth="1"/>
    <col min="15" max="15" width="2.5703125" style="20" bestFit="1" customWidth="1"/>
    <col min="16" max="16" width="2.140625" style="20" bestFit="1" customWidth="1"/>
    <col min="17" max="17" width="14.28515625" style="20" bestFit="1" customWidth="1"/>
    <col min="18" max="18" width="2.140625" style="20" bestFit="1" customWidth="1"/>
    <col min="19" max="19" width="2.5703125" style="20" bestFit="1" customWidth="1"/>
    <col min="20" max="20" width="2.140625" style="20" bestFit="1" customWidth="1"/>
    <col min="21" max="21" width="14.28515625" style="20" bestFit="1" customWidth="1"/>
    <col min="22" max="22" width="2.140625" style="20" bestFit="1" customWidth="1"/>
    <col min="23" max="23" width="2.5703125" style="20" bestFit="1" customWidth="1"/>
    <col min="24" max="24" width="2.140625" style="20" bestFit="1" customWidth="1"/>
    <col min="25" max="25" width="14.28515625" style="20" bestFit="1" customWidth="1"/>
    <col min="26" max="28" width="2.140625" style="20" customWidth="1"/>
    <col min="29" max="29" width="14.28515625" style="20" bestFit="1" customWidth="1"/>
    <col min="30" max="32" width="2.140625" style="20" customWidth="1"/>
    <col min="33" max="33" width="14.28515625" style="20" bestFit="1" customWidth="1"/>
    <col min="34" max="36" width="2.140625" style="20" customWidth="1"/>
    <col min="37" max="37" width="14.85546875" style="20" bestFit="1" customWidth="1"/>
    <col min="38" max="38" width="14.5703125" style="20" bestFit="1" customWidth="1"/>
    <col min="39" max="39" width="10" style="20" customWidth="1"/>
  </cols>
  <sheetData>
    <row r="1" spans="1:43" ht="22.5" thickTop="1" thickBot="1" x14ac:dyDescent="0.4">
      <c r="A1" s="62" t="s">
        <v>203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4"/>
    </row>
    <row r="2" spans="1:43" ht="16.5" thickTop="1" thickBot="1" x14ac:dyDescent="0.3"/>
    <row r="3" spans="1:43" s="1" customFormat="1" ht="15.75" thickTop="1" x14ac:dyDescent="0.25">
      <c r="A3" s="15"/>
      <c r="B3" s="53"/>
      <c r="C3" s="5"/>
      <c r="D3" s="27"/>
      <c r="E3" s="27" t="s">
        <v>2</v>
      </c>
      <c r="F3" s="27"/>
      <c r="G3" s="28" t="s">
        <v>4</v>
      </c>
      <c r="H3" s="29" t="s">
        <v>32</v>
      </c>
      <c r="I3" s="30"/>
      <c r="J3" s="31"/>
      <c r="K3" s="31"/>
      <c r="L3" s="31"/>
      <c r="M3" s="65" t="s">
        <v>12</v>
      </c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6"/>
      <c r="AL3" s="32"/>
      <c r="AM3" s="33"/>
    </row>
    <row r="4" spans="1:43" s="1" customFormat="1" ht="26.25" customHeight="1" thickBot="1" x14ac:dyDescent="0.3">
      <c r="A4" s="16" t="s">
        <v>0</v>
      </c>
      <c r="B4" s="54" t="s">
        <v>37</v>
      </c>
      <c r="C4" s="6" t="s">
        <v>1</v>
      </c>
      <c r="D4" s="34" t="s">
        <v>2</v>
      </c>
      <c r="E4" s="34" t="s">
        <v>3</v>
      </c>
      <c r="F4" s="34" t="s">
        <v>5</v>
      </c>
      <c r="G4" s="35" t="s">
        <v>6</v>
      </c>
      <c r="H4" s="36" t="s">
        <v>33</v>
      </c>
      <c r="I4" s="37" t="s">
        <v>7</v>
      </c>
      <c r="J4" s="38" t="s">
        <v>16</v>
      </c>
      <c r="K4" s="38" t="s">
        <v>17</v>
      </c>
      <c r="L4" s="38" t="s">
        <v>18</v>
      </c>
      <c r="M4" s="39" t="s">
        <v>8</v>
      </c>
      <c r="N4" s="38" t="s">
        <v>16</v>
      </c>
      <c r="O4" s="38" t="s">
        <v>17</v>
      </c>
      <c r="P4" s="38" t="s">
        <v>18</v>
      </c>
      <c r="Q4" s="39" t="s">
        <v>9</v>
      </c>
      <c r="R4" s="38" t="s">
        <v>16</v>
      </c>
      <c r="S4" s="38" t="s">
        <v>17</v>
      </c>
      <c r="T4" s="38" t="s">
        <v>18</v>
      </c>
      <c r="U4" s="39" t="s">
        <v>10</v>
      </c>
      <c r="V4" s="38" t="s">
        <v>16</v>
      </c>
      <c r="W4" s="38" t="s">
        <v>17</v>
      </c>
      <c r="X4" s="38" t="s">
        <v>18</v>
      </c>
      <c r="Y4" s="39" t="s">
        <v>19</v>
      </c>
      <c r="Z4" s="38" t="s">
        <v>16</v>
      </c>
      <c r="AA4" s="38" t="s">
        <v>17</v>
      </c>
      <c r="AB4" s="38" t="s">
        <v>18</v>
      </c>
      <c r="AC4" s="39" t="s">
        <v>19</v>
      </c>
      <c r="AD4" s="38" t="s">
        <v>16</v>
      </c>
      <c r="AE4" s="38" t="s">
        <v>17</v>
      </c>
      <c r="AF4" s="38" t="s">
        <v>18</v>
      </c>
      <c r="AG4" s="39" t="s">
        <v>367</v>
      </c>
      <c r="AH4" s="38" t="s">
        <v>16</v>
      </c>
      <c r="AI4" s="38" t="s">
        <v>17</v>
      </c>
      <c r="AJ4" s="38" t="s">
        <v>18</v>
      </c>
      <c r="AK4" s="40" t="s">
        <v>11</v>
      </c>
      <c r="AL4" s="41" t="s">
        <v>13</v>
      </c>
      <c r="AM4" s="42" t="s">
        <v>5</v>
      </c>
    </row>
    <row r="5" spans="1:43" ht="15.75" thickTop="1" x14ac:dyDescent="0.25">
      <c r="A5" s="17">
        <v>46212</v>
      </c>
      <c r="B5" s="58">
        <v>0.90277777777777779</v>
      </c>
      <c r="C5" s="3" t="s">
        <v>334</v>
      </c>
      <c r="D5" s="21">
        <v>3400</v>
      </c>
      <c r="E5" s="21">
        <v>3910</v>
      </c>
      <c r="F5" s="21">
        <f>+E5-D5</f>
        <v>510</v>
      </c>
      <c r="G5" s="21">
        <f>+D5*0.15</f>
        <v>510</v>
      </c>
      <c r="H5" s="21">
        <f>+D5+G5</f>
        <v>3910</v>
      </c>
      <c r="I5" s="43">
        <v>3910</v>
      </c>
      <c r="J5" s="21" t="s">
        <v>34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>
        <f>SUM(I5:AK5)</f>
        <v>3910</v>
      </c>
      <c r="AM5" s="21">
        <f t="shared" ref="AM5:AM15" si="0">+AL5-E5</f>
        <v>0</v>
      </c>
      <c r="AN5" t="s">
        <v>14</v>
      </c>
      <c r="AO5" t="s">
        <v>14</v>
      </c>
      <c r="AP5" t="s">
        <v>14</v>
      </c>
      <c r="AQ5" t="s">
        <v>14</v>
      </c>
    </row>
    <row r="6" spans="1:43" x14ac:dyDescent="0.25">
      <c r="A6" s="17">
        <v>46212</v>
      </c>
      <c r="B6" s="58">
        <v>0.97916666666666663</v>
      </c>
      <c r="C6" s="3" t="s">
        <v>335</v>
      </c>
      <c r="D6" s="21">
        <v>1179</v>
      </c>
      <c r="E6" s="21">
        <v>1355</v>
      </c>
      <c r="F6" s="21">
        <f>+E6-D6</f>
        <v>176</v>
      </c>
      <c r="G6" s="21"/>
      <c r="H6" s="21"/>
      <c r="I6" s="43">
        <v>1355</v>
      </c>
      <c r="J6" s="21" t="s">
        <v>34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>
        <f t="shared" ref="AL6:AL15" si="1">SUM(I6:AK6)</f>
        <v>1355</v>
      </c>
      <c r="AM6" s="21">
        <f t="shared" si="0"/>
        <v>0</v>
      </c>
    </row>
    <row r="7" spans="1:43" x14ac:dyDescent="0.25">
      <c r="A7" s="17">
        <v>46212</v>
      </c>
      <c r="B7" s="58">
        <v>0.97986111111111107</v>
      </c>
      <c r="C7" s="3" t="s">
        <v>336</v>
      </c>
      <c r="D7" s="21">
        <v>3558</v>
      </c>
      <c r="E7" s="21">
        <v>4091.7</v>
      </c>
      <c r="F7" s="21">
        <f>+E7-D7</f>
        <v>533.69999999999982</v>
      </c>
      <c r="G7" s="21">
        <f>+D7*0.15</f>
        <v>533.69999999999993</v>
      </c>
      <c r="H7" s="21">
        <f>+D7+G7</f>
        <v>4091.7</v>
      </c>
      <c r="I7" s="49">
        <v>4091.7</v>
      </c>
      <c r="J7" s="49"/>
      <c r="K7" s="49" t="s">
        <v>34</v>
      </c>
      <c r="L7" s="49"/>
      <c r="M7" s="49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>
        <f t="shared" si="1"/>
        <v>4091.7</v>
      </c>
      <c r="AM7" s="21">
        <f t="shared" si="0"/>
        <v>0</v>
      </c>
      <c r="AN7" t="s">
        <v>14</v>
      </c>
      <c r="AO7" t="s">
        <v>14</v>
      </c>
      <c r="AP7" t="s">
        <v>14</v>
      </c>
      <c r="AQ7" t="s">
        <v>14</v>
      </c>
    </row>
    <row r="8" spans="1:43" x14ac:dyDescent="0.25">
      <c r="A8" s="18">
        <v>46212</v>
      </c>
      <c r="B8" s="59">
        <v>0.99513888888888891</v>
      </c>
      <c r="C8" s="2" t="s">
        <v>337</v>
      </c>
      <c r="D8" s="19">
        <v>1370</v>
      </c>
      <c r="E8" s="19">
        <v>1811.82</v>
      </c>
      <c r="F8" s="21">
        <f t="shared" ref="F8:F108" si="2">+E8-D8</f>
        <v>441.81999999999994</v>
      </c>
      <c r="G8" s="21">
        <f t="shared" ref="G8:G108" si="3">+D8*0.15</f>
        <v>205.5</v>
      </c>
      <c r="H8" s="21">
        <f t="shared" ref="H8:H108" si="4">+D8+G8</f>
        <v>1575.5</v>
      </c>
      <c r="I8" s="50">
        <v>1811.82</v>
      </c>
      <c r="J8" s="50" t="s">
        <v>34</v>
      </c>
      <c r="K8" s="50"/>
      <c r="L8" s="50"/>
      <c r="M8" s="5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1">
        <f t="shared" si="1"/>
        <v>1811.82</v>
      </c>
      <c r="AM8" s="21">
        <f t="shared" si="0"/>
        <v>0</v>
      </c>
    </row>
    <row r="9" spans="1:43" x14ac:dyDescent="0.25">
      <c r="A9" s="18">
        <v>46213</v>
      </c>
      <c r="B9" s="59">
        <v>9.0277777777777769E-3</v>
      </c>
      <c r="C9" s="2" t="s">
        <v>338</v>
      </c>
      <c r="D9" s="19">
        <v>330</v>
      </c>
      <c r="E9" s="19">
        <v>379.5</v>
      </c>
      <c r="F9" s="21">
        <f t="shared" si="2"/>
        <v>49.5</v>
      </c>
      <c r="G9" s="21"/>
      <c r="H9" s="21"/>
      <c r="I9" s="49"/>
      <c r="J9" s="49"/>
      <c r="K9" s="49"/>
      <c r="L9" s="49"/>
      <c r="M9" s="49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>
        <v>379.5</v>
      </c>
      <c r="AL9" s="21">
        <f t="shared" si="1"/>
        <v>379.5</v>
      </c>
      <c r="AM9" s="21">
        <f t="shared" si="0"/>
        <v>0</v>
      </c>
    </row>
    <row r="10" spans="1:43" x14ac:dyDescent="0.25">
      <c r="A10" s="18">
        <v>46213</v>
      </c>
      <c r="B10" s="59">
        <v>1.2500000000000001E-2</v>
      </c>
      <c r="C10" s="2" t="s">
        <v>339</v>
      </c>
      <c r="D10" s="19">
        <v>110</v>
      </c>
      <c r="E10" s="19">
        <v>110</v>
      </c>
      <c r="F10" s="21">
        <f t="shared" si="2"/>
        <v>0</v>
      </c>
      <c r="G10" s="21"/>
      <c r="H10" s="21"/>
      <c r="I10" s="49"/>
      <c r="J10" s="49"/>
      <c r="K10" s="49"/>
      <c r="L10" s="49"/>
      <c r="M10" s="49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>
        <v>110</v>
      </c>
      <c r="AL10" s="21">
        <f t="shared" si="1"/>
        <v>110</v>
      </c>
      <c r="AM10" s="21">
        <f t="shared" si="0"/>
        <v>0</v>
      </c>
    </row>
    <row r="11" spans="1:43" x14ac:dyDescent="0.25">
      <c r="A11" s="18">
        <v>46213</v>
      </c>
      <c r="B11" s="59">
        <v>1.7361111111111112E-2</v>
      </c>
      <c r="C11" s="2" t="s">
        <v>340</v>
      </c>
      <c r="D11" s="19">
        <v>110</v>
      </c>
      <c r="E11" s="19">
        <v>110</v>
      </c>
      <c r="F11" s="21">
        <f t="shared" si="2"/>
        <v>0</v>
      </c>
      <c r="G11" s="21"/>
      <c r="H11" s="21"/>
      <c r="I11" s="49"/>
      <c r="J11" s="49"/>
      <c r="K11" s="49"/>
      <c r="L11" s="49"/>
      <c r="M11" s="49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>
        <v>110</v>
      </c>
      <c r="AL11" s="21">
        <f t="shared" si="1"/>
        <v>110</v>
      </c>
      <c r="AM11" s="21">
        <f t="shared" si="0"/>
        <v>0</v>
      </c>
    </row>
    <row r="12" spans="1:43" x14ac:dyDescent="0.25">
      <c r="A12" s="18">
        <v>46213</v>
      </c>
      <c r="B12" s="59">
        <v>3.6805555555555557E-2</v>
      </c>
      <c r="C12" s="2" t="s">
        <v>341</v>
      </c>
      <c r="D12" s="19">
        <v>660</v>
      </c>
      <c r="E12" s="19">
        <v>660</v>
      </c>
      <c r="F12" s="21">
        <f t="shared" si="2"/>
        <v>0</v>
      </c>
      <c r="G12" s="21"/>
      <c r="H12" s="21"/>
      <c r="I12" s="49">
        <v>160</v>
      </c>
      <c r="J12" s="49" t="s">
        <v>34</v>
      </c>
      <c r="K12" s="49"/>
      <c r="L12" s="49"/>
      <c r="M12" s="49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>
        <v>500</v>
      </c>
      <c r="AL12" s="21">
        <f t="shared" si="1"/>
        <v>660</v>
      </c>
      <c r="AM12" s="21">
        <f t="shared" si="0"/>
        <v>0</v>
      </c>
    </row>
    <row r="13" spans="1:43" x14ac:dyDescent="0.25">
      <c r="A13" s="18">
        <v>46213</v>
      </c>
      <c r="B13" s="59">
        <v>4.9305555555555554E-2</v>
      </c>
      <c r="C13" s="2" t="s">
        <v>342</v>
      </c>
      <c r="D13" s="19">
        <v>140</v>
      </c>
      <c r="E13" s="19">
        <v>161</v>
      </c>
      <c r="F13" s="21">
        <f t="shared" si="2"/>
        <v>21</v>
      </c>
      <c r="G13" s="21">
        <f t="shared" si="3"/>
        <v>21</v>
      </c>
      <c r="H13" s="21">
        <f t="shared" si="4"/>
        <v>161</v>
      </c>
      <c r="I13" s="50"/>
      <c r="J13" s="50"/>
      <c r="K13" s="50"/>
      <c r="L13" s="50"/>
      <c r="M13" s="5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>
        <v>161</v>
      </c>
      <c r="AL13" s="21">
        <f t="shared" si="1"/>
        <v>161</v>
      </c>
      <c r="AM13" s="21">
        <f t="shared" si="0"/>
        <v>0</v>
      </c>
    </row>
    <row r="14" spans="1:43" x14ac:dyDescent="0.25">
      <c r="A14" s="18">
        <v>46213</v>
      </c>
      <c r="B14" s="59">
        <v>6.3888888888888884E-2</v>
      </c>
      <c r="C14" s="2" t="s">
        <v>343</v>
      </c>
      <c r="D14" s="19">
        <v>2400</v>
      </c>
      <c r="E14" s="19">
        <v>3036</v>
      </c>
      <c r="F14" s="21">
        <f t="shared" si="2"/>
        <v>636</v>
      </c>
      <c r="G14" s="21"/>
      <c r="H14" s="21"/>
      <c r="I14" s="49">
        <v>3036</v>
      </c>
      <c r="J14" s="49"/>
      <c r="K14" s="49" t="s">
        <v>34</v>
      </c>
      <c r="L14" s="49"/>
      <c r="M14" s="49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>
        <f t="shared" si="1"/>
        <v>3036</v>
      </c>
      <c r="AM14" s="21">
        <f t="shared" si="0"/>
        <v>0</v>
      </c>
    </row>
    <row r="15" spans="1:43" x14ac:dyDescent="0.25">
      <c r="A15" s="18">
        <v>46213</v>
      </c>
      <c r="B15" s="59">
        <v>7.1527777777777773E-2</v>
      </c>
      <c r="C15" s="2" t="s">
        <v>344</v>
      </c>
      <c r="D15" s="19">
        <v>1200</v>
      </c>
      <c r="E15" s="19">
        <v>1380</v>
      </c>
      <c r="F15" s="21">
        <f t="shared" si="2"/>
        <v>180</v>
      </c>
      <c r="G15" s="21">
        <f t="shared" si="3"/>
        <v>180</v>
      </c>
      <c r="H15" s="21">
        <f t="shared" si="4"/>
        <v>1380</v>
      </c>
      <c r="I15" s="50"/>
      <c r="J15" s="50"/>
      <c r="K15" s="50"/>
      <c r="L15" s="50"/>
      <c r="M15" s="50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>
        <v>1380</v>
      </c>
      <c r="AL15" s="21">
        <f t="shared" si="1"/>
        <v>1380</v>
      </c>
      <c r="AM15" s="21">
        <f t="shared" si="0"/>
        <v>0</v>
      </c>
    </row>
    <row r="16" spans="1:43" x14ac:dyDescent="0.25">
      <c r="A16" s="18">
        <v>46213</v>
      </c>
      <c r="B16" s="59">
        <v>7.4305555555555555E-2</v>
      </c>
      <c r="C16" s="2" t="s">
        <v>345</v>
      </c>
      <c r="D16" s="19">
        <v>2078</v>
      </c>
      <c r="E16" s="19">
        <v>2389</v>
      </c>
      <c r="F16" s="21">
        <f t="shared" ref="F16:F37" si="5">+E16-D16</f>
        <v>311</v>
      </c>
      <c r="G16" s="21">
        <f t="shared" ref="G16:G37" si="6">+D16*0.15</f>
        <v>311.7</v>
      </c>
      <c r="H16" s="21">
        <f t="shared" ref="H16:H37" si="7">+D16+G16</f>
        <v>2389.6999999999998</v>
      </c>
      <c r="I16" s="50">
        <v>1189</v>
      </c>
      <c r="J16" s="50"/>
      <c r="K16" s="50"/>
      <c r="L16" s="50"/>
      <c r="M16" s="50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>
        <v>1200</v>
      </c>
      <c r="AL16" s="21">
        <f t="shared" ref="AL16:AL37" si="8">SUM(I16:AK16)</f>
        <v>2389</v>
      </c>
      <c r="AM16" s="21">
        <f t="shared" ref="AM16:AM37" si="9">+AL16-E16</f>
        <v>0</v>
      </c>
    </row>
    <row r="17" spans="1:39" x14ac:dyDescent="0.25">
      <c r="A17" s="18">
        <v>46213</v>
      </c>
      <c r="B17" s="59">
        <v>7.5694444444444439E-2</v>
      </c>
      <c r="C17" s="2" t="s">
        <v>346</v>
      </c>
      <c r="D17" s="19">
        <v>60</v>
      </c>
      <c r="E17" s="19">
        <v>60</v>
      </c>
      <c r="F17" s="21">
        <f t="shared" si="5"/>
        <v>0</v>
      </c>
      <c r="G17" s="21">
        <f t="shared" si="6"/>
        <v>9</v>
      </c>
      <c r="H17" s="21">
        <f t="shared" si="7"/>
        <v>69</v>
      </c>
      <c r="I17" s="50"/>
      <c r="J17" s="50"/>
      <c r="K17" s="50"/>
      <c r="L17" s="50"/>
      <c r="M17" s="50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>
        <v>60</v>
      </c>
      <c r="AL17" s="21">
        <f t="shared" si="8"/>
        <v>60</v>
      </c>
      <c r="AM17" s="21">
        <f t="shared" si="9"/>
        <v>0</v>
      </c>
    </row>
    <row r="18" spans="1:39" x14ac:dyDescent="0.25">
      <c r="A18" s="18">
        <v>46213</v>
      </c>
      <c r="B18" s="59">
        <v>9.6527777777777782E-2</v>
      </c>
      <c r="C18" s="2" t="s">
        <v>347</v>
      </c>
      <c r="D18" s="19">
        <v>1810</v>
      </c>
      <c r="E18" s="19">
        <v>2497.8000000000002</v>
      </c>
      <c r="F18" s="21">
        <f t="shared" si="5"/>
        <v>687.80000000000018</v>
      </c>
      <c r="G18" s="21">
        <f t="shared" si="6"/>
        <v>271.5</v>
      </c>
      <c r="H18" s="21">
        <f t="shared" si="7"/>
        <v>2081.5</v>
      </c>
      <c r="I18" s="50">
        <v>2497.8000000000002</v>
      </c>
      <c r="J18" s="50" t="s">
        <v>66</v>
      </c>
      <c r="K18" s="50"/>
      <c r="L18" s="50"/>
      <c r="M18" s="50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1">
        <f t="shared" si="8"/>
        <v>2497.8000000000002</v>
      </c>
      <c r="AM18" s="21">
        <f t="shared" si="9"/>
        <v>0</v>
      </c>
    </row>
    <row r="19" spans="1:39" x14ac:dyDescent="0.25">
      <c r="A19" s="18">
        <v>46213</v>
      </c>
      <c r="B19" s="59">
        <v>9.6527777777777782E-2</v>
      </c>
      <c r="C19" s="2" t="s">
        <v>348</v>
      </c>
      <c r="D19" s="19">
        <v>120</v>
      </c>
      <c r="E19" s="19">
        <v>120</v>
      </c>
      <c r="F19" s="21">
        <f t="shared" si="5"/>
        <v>0</v>
      </c>
      <c r="G19" s="21">
        <f t="shared" si="6"/>
        <v>18</v>
      </c>
      <c r="H19" s="21">
        <f t="shared" si="7"/>
        <v>138</v>
      </c>
      <c r="I19" s="50"/>
      <c r="J19" s="50"/>
      <c r="K19" s="50"/>
      <c r="L19" s="50"/>
      <c r="M19" s="50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>
        <v>120</v>
      </c>
      <c r="AL19" s="21">
        <f t="shared" si="8"/>
        <v>120</v>
      </c>
      <c r="AM19" s="21">
        <f t="shared" si="9"/>
        <v>0</v>
      </c>
    </row>
    <row r="20" spans="1:39" x14ac:dyDescent="0.25">
      <c r="A20" s="18">
        <v>46213</v>
      </c>
      <c r="B20" s="59">
        <v>0.10416666666666667</v>
      </c>
      <c r="C20" s="2" t="s">
        <v>349</v>
      </c>
      <c r="D20" s="19">
        <v>200</v>
      </c>
      <c r="E20" s="19">
        <v>200</v>
      </c>
      <c r="F20" s="21">
        <f t="shared" si="5"/>
        <v>0</v>
      </c>
      <c r="G20" s="21">
        <f t="shared" si="6"/>
        <v>30</v>
      </c>
      <c r="H20" s="21">
        <f t="shared" si="7"/>
        <v>230</v>
      </c>
      <c r="I20" s="50"/>
      <c r="J20" s="50"/>
      <c r="K20" s="50"/>
      <c r="L20" s="50"/>
      <c r="M20" s="50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>
        <v>200</v>
      </c>
      <c r="AL20" s="21">
        <f t="shared" si="8"/>
        <v>200</v>
      </c>
      <c r="AM20" s="21">
        <f t="shared" si="9"/>
        <v>0</v>
      </c>
    </row>
    <row r="21" spans="1:39" x14ac:dyDescent="0.25">
      <c r="A21" s="18">
        <v>46213</v>
      </c>
      <c r="B21" s="59">
        <v>0.10625</v>
      </c>
      <c r="C21" s="2" t="s">
        <v>356</v>
      </c>
      <c r="D21" s="19">
        <v>865</v>
      </c>
      <c r="E21" s="19">
        <v>994.75</v>
      </c>
      <c r="F21" s="21">
        <f t="shared" ref="F21" si="10">+E21-D21</f>
        <v>129.75</v>
      </c>
      <c r="G21" s="21">
        <f t="shared" ref="G21" si="11">+D21*0.15</f>
        <v>129.75</v>
      </c>
      <c r="H21" s="21">
        <f t="shared" ref="H21" si="12">+D21+G21</f>
        <v>994.75</v>
      </c>
      <c r="I21" s="50">
        <v>994</v>
      </c>
      <c r="J21" s="50" t="s">
        <v>66</v>
      </c>
      <c r="K21" s="50"/>
      <c r="L21" s="50"/>
      <c r="M21" s="50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>
        <v>0</v>
      </c>
      <c r="AL21" s="21">
        <f t="shared" ref="AL21" si="13">SUM(I21:AK21)</f>
        <v>994</v>
      </c>
      <c r="AM21" s="21">
        <f t="shared" ref="AM21" si="14">+AL21-E21</f>
        <v>-0.75</v>
      </c>
    </row>
    <row r="22" spans="1:39" x14ac:dyDescent="0.25">
      <c r="A22" s="18">
        <v>46213</v>
      </c>
      <c r="B22" s="59">
        <v>0.10694444444444444</v>
      </c>
      <c r="C22" s="2" t="s">
        <v>350</v>
      </c>
      <c r="D22" s="19">
        <v>1200</v>
      </c>
      <c r="E22" s="19">
        <v>1380</v>
      </c>
      <c r="F22" s="21">
        <f t="shared" si="5"/>
        <v>180</v>
      </c>
      <c r="G22" s="21">
        <f t="shared" si="6"/>
        <v>180</v>
      </c>
      <c r="H22" s="21">
        <f t="shared" si="7"/>
        <v>1380</v>
      </c>
      <c r="I22" s="50"/>
      <c r="J22" s="50"/>
      <c r="K22" s="50"/>
      <c r="L22" s="50"/>
      <c r="M22" s="50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>
        <v>1380</v>
      </c>
      <c r="AL22" s="21">
        <f t="shared" si="8"/>
        <v>1380</v>
      </c>
      <c r="AM22" s="21">
        <f t="shared" si="9"/>
        <v>0</v>
      </c>
    </row>
    <row r="23" spans="1:39" x14ac:dyDescent="0.25">
      <c r="A23" s="18">
        <v>46213</v>
      </c>
      <c r="B23" s="59">
        <v>0.1111111111111111</v>
      </c>
      <c r="C23" s="2" t="s">
        <v>351</v>
      </c>
      <c r="D23" s="19">
        <v>5400</v>
      </c>
      <c r="E23" s="19">
        <v>6200</v>
      </c>
      <c r="F23" s="21">
        <f t="shared" si="5"/>
        <v>800</v>
      </c>
      <c r="G23" s="21">
        <f t="shared" si="6"/>
        <v>810</v>
      </c>
      <c r="H23" s="21">
        <f t="shared" si="7"/>
        <v>6210</v>
      </c>
      <c r="I23" s="50"/>
      <c r="J23" s="50"/>
      <c r="K23" s="50"/>
      <c r="L23" s="50"/>
      <c r="M23" s="50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>
        <v>6200</v>
      </c>
      <c r="AL23" s="21">
        <f t="shared" si="8"/>
        <v>6200</v>
      </c>
      <c r="AM23" s="21">
        <f t="shared" si="9"/>
        <v>0</v>
      </c>
    </row>
    <row r="24" spans="1:39" x14ac:dyDescent="0.25">
      <c r="A24" s="18">
        <v>46213</v>
      </c>
      <c r="B24" s="59">
        <v>0.11458333333333333</v>
      </c>
      <c r="C24" s="2" t="s">
        <v>352</v>
      </c>
      <c r="D24" s="19">
        <v>1200</v>
      </c>
      <c r="E24" s="19">
        <v>1587</v>
      </c>
      <c r="F24" s="21">
        <f t="shared" si="5"/>
        <v>387</v>
      </c>
      <c r="G24" s="21">
        <f t="shared" si="6"/>
        <v>180</v>
      </c>
      <c r="H24" s="21">
        <f t="shared" si="7"/>
        <v>1380</v>
      </c>
      <c r="I24" s="50">
        <v>1587</v>
      </c>
      <c r="J24" s="50"/>
      <c r="K24" s="50" t="s">
        <v>66</v>
      </c>
      <c r="L24" s="50"/>
      <c r="M24" s="50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1">
        <f t="shared" si="8"/>
        <v>1587</v>
      </c>
      <c r="AM24" s="21">
        <f t="shared" si="9"/>
        <v>0</v>
      </c>
    </row>
    <row r="25" spans="1:39" x14ac:dyDescent="0.25">
      <c r="A25" s="18">
        <v>46213</v>
      </c>
      <c r="B25" s="59">
        <v>0.11597222222222223</v>
      </c>
      <c r="C25" s="2" t="s">
        <v>353</v>
      </c>
      <c r="D25" s="19">
        <v>1320</v>
      </c>
      <c r="E25" s="19">
        <v>2500</v>
      </c>
      <c r="F25" s="21">
        <f t="shared" si="5"/>
        <v>1180</v>
      </c>
      <c r="G25" s="21">
        <f t="shared" si="6"/>
        <v>198</v>
      </c>
      <c r="H25" s="21">
        <f t="shared" si="7"/>
        <v>1518</v>
      </c>
      <c r="I25" s="50">
        <v>500</v>
      </c>
      <c r="J25" s="50"/>
      <c r="K25" s="50" t="s">
        <v>66</v>
      </c>
      <c r="L25" s="50"/>
      <c r="M25" s="50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>
        <v>2000</v>
      </c>
      <c r="AL25" s="21">
        <f t="shared" si="8"/>
        <v>2500</v>
      </c>
      <c r="AM25" s="21">
        <f t="shared" si="9"/>
        <v>0</v>
      </c>
    </row>
    <row r="26" spans="1:39" x14ac:dyDescent="0.25">
      <c r="A26" s="18">
        <v>46213</v>
      </c>
      <c r="B26" s="59">
        <v>0.11736111111111111</v>
      </c>
      <c r="C26" s="2" t="s">
        <v>354</v>
      </c>
      <c r="D26" s="19">
        <v>1200</v>
      </c>
      <c r="E26" s="19">
        <v>1200</v>
      </c>
      <c r="F26" s="21">
        <f t="shared" si="5"/>
        <v>0</v>
      </c>
      <c r="G26" s="21">
        <f t="shared" si="6"/>
        <v>180</v>
      </c>
      <c r="H26" s="21">
        <f t="shared" si="7"/>
        <v>1380</v>
      </c>
      <c r="I26" s="50"/>
      <c r="J26" s="50"/>
      <c r="K26" s="50"/>
      <c r="L26" s="50"/>
      <c r="M26" s="50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>
        <v>1200</v>
      </c>
      <c r="AL26" s="21">
        <f t="shared" si="8"/>
        <v>1200</v>
      </c>
      <c r="AM26" s="21">
        <f t="shared" si="9"/>
        <v>0</v>
      </c>
    </row>
    <row r="27" spans="1:39" x14ac:dyDescent="0.25">
      <c r="A27" s="18">
        <v>46213</v>
      </c>
      <c r="B27" s="59">
        <v>0.11736111111111111</v>
      </c>
      <c r="C27" s="2" t="s">
        <v>355</v>
      </c>
      <c r="D27" s="19">
        <v>1280</v>
      </c>
      <c r="E27" s="19">
        <v>1472</v>
      </c>
      <c r="F27" s="21">
        <f t="shared" si="5"/>
        <v>192</v>
      </c>
      <c r="G27" s="21">
        <f t="shared" si="6"/>
        <v>192</v>
      </c>
      <c r="H27" s="21">
        <f t="shared" si="7"/>
        <v>1472</v>
      </c>
      <c r="I27" s="50">
        <v>872</v>
      </c>
      <c r="J27" s="50"/>
      <c r="K27" s="50" t="s">
        <v>66</v>
      </c>
      <c r="L27" s="50"/>
      <c r="M27" s="50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>
        <v>600</v>
      </c>
      <c r="AL27" s="21">
        <f t="shared" si="8"/>
        <v>1472</v>
      </c>
      <c r="AM27" s="21">
        <f t="shared" si="9"/>
        <v>0</v>
      </c>
    </row>
    <row r="28" spans="1:39" x14ac:dyDescent="0.25">
      <c r="A28" s="18">
        <v>46213</v>
      </c>
      <c r="B28" s="59">
        <v>0.125</v>
      </c>
      <c r="C28" s="2" t="s">
        <v>357</v>
      </c>
      <c r="D28" s="19">
        <v>1840</v>
      </c>
      <c r="E28" s="19">
        <v>2116</v>
      </c>
      <c r="F28" s="21">
        <f t="shared" si="5"/>
        <v>276</v>
      </c>
      <c r="G28" s="21">
        <f t="shared" si="6"/>
        <v>276</v>
      </c>
      <c r="H28" s="21">
        <f t="shared" si="7"/>
        <v>2116</v>
      </c>
      <c r="I28" s="50">
        <v>822.25</v>
      </c>
      <c r="J28" s="50"/>
      <c r="K28" s="50" t="s">
        <v>66</v>
      </c>
      <c r="L28" s="50"/>
      <c r="M28" s="50">
        <v>650</v>
      </c>
      <c r="N28" s="19"/>
      <c r="O28" s="19" t="s">
        <v>66</v>
      </c>
      <c r="P28" s="19"/>
      <c r="Q28" s="19">
        <v>643.75</v>
      </c>
      <c r="R28" s="19" t="s">
        <v>66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1">
        <f t="shared" si="8"/>
        <v>2116</v>
      </c>
      <c r="AM28" s="21">
        <f t="shared" si="9"/>
        <v>0</v>
      </c>
    </row>
    <row r="29" spans="1:39" x14ac:dyDescent="0.25">
      <c r="A29" s="18">
        <v>46213</v>
      </c>
      <c r="B29" s="59">
        <v>0.12986111111111112</v>
      </c>
      <c r="C29" s="2" t="s">
        <v>358</v>
      </c>
      <c r="D29" s="19">
        <v>969</v>
      </c>
      <c r="E29" s="19">
        <v>1122.6500000000001</v>
      </c>
      <c r="F29" s="21">
        <f t="shared" si="5"/>
        <v>153.65000000000009</v>
      </c>
      <c r="G29" s="21">
        <f t="shared" si="6"/>
        <v>145.35</v>
      </c>
      <c r="H29" s="21">
        <f t="shared" si="7"/>
        <v>1114.3499999999999</v>
      </c>
      <c r="I29" s="50">
        <v>1122.6500000000001</v>
      </c>
      <c r="J29" s="50" t="s">
        <v>66</v>
      </c>
      <c r="K29" s="50"/>
      <c r="L29" s="50"/>
      <c r="M29" s="50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1">
        <f t="shared" si="8"/>
        <v>1122.6500000000001</v>
      </c>
      <c r="AM29" s="21">
        <f t="shared" si="9"/>
        <v>0</v>
      </c>
    </row>
    <row r="30" spans="1:39" x14ac:dyDescent="0.25">
      <c r="A30" s="18">
        <v>46213</v>
      </c>
      <c r="B30" s="59">
        <v>0.13055555555555556</v>
      </c>
      <c r="C30" s="2" t="s">
        <v>359</v>
      </c>
      <c r="D30" s="19">
        <v>1280</v>
      </c>
      <c r="E30" s="19">
        <v>1472</v>
      </c>
      <c r="F30" s="21">
        <f t="shared" si="5"/>
        <v>192</v>
      </c>
      <c r="G30" s="21">
        <f t="shared" si="6"/>
        <v>192</v>
      </c>
      <c r="H30" s="21">
        <f t="shared" si="7"/>
        <v>1472</v>
      </c>
      <c r="I30" s="50">
        <v>1472</v>
      </c>
      <c r="J30" s="50" t="s">
        <v>66</v>
      </c>
      <c r="K30" s="50"/>
      <c r="L30" s="50"/>
      <c r="M30" s="50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1">
        <f t="shared" si="8"/>
        <v>1472</v>
      </c>
      <c r="AM30" s="21">
        <f t="shared" si="9"/>
        <v>0</v>
      </c>
    </row>
    <row r="31" spans="1:39" x14ac:dyDescent="0.25">
      <c r="A31" s="18">
        <v>46213</v>
      </c>
      <c r="B31" s="59">
        <v>0.13194444444444445</v>
      </c>
      <c r="C31" s="2" t="s">
        <v>360</v>
      </c>
      <c r="D31" s="19">
        <v>385</v>
      </c>
      <c r="E31" s="19">
        <v>442.75</v>
      </c>
      <c r="F31" s="21">
        <f t="shared" si="5"/>
        <v>57.75</v>
      </c>
      <c r="G31" s="21">
        <f t="shared" si="6"/>
        <v>57.75</v>
      </c>
      <c r="H31" s="21">
        <f t="shared" si="7"/>
        <v>442.75</v>
      </c>
      <c r="I31" s="50">
        <v>276</v>
      </c>
      <c r="J31" s="50"/>
      <c r="K31" s="50"/>
      <c r="L31" s="50"/>
      <c r="M31" s="50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>
        <v>166.75</v>
      </c>
      <c r="AL31" s="21">
        <f t="shared" si="8"/>
        <v>442.75</v>
      </c>
      <c r="AM31" s="21">
        <f t="shared" si="9"/>
        <v>0</v>
      </c>
    </row>
    <row r="32" spans="1:39" x14ac:dyDescent="0.25">
      <c r="A32" s="18">
        <v>46213</v>
      </c>
      <c r="B32" s="59">
        <v>0.14097222222222222</v>
      </c>
      <c r="C32" s="2" t="s">
        <v>361</v>
      </c>
      <c r="D32" s="19">
        <v>170</v>
      </c>
      <c r="E32" s="19">
        <v>170</v>
      </c>
      <c r="F32" s="21">
        <f t="shared" si="5"/>
        <v>0</v>
      </c>
      <c r="G32" s="21">
        <f t="shared" si="6"/>
        <v>25.5</v>
      </c>
      <c r="H32" s="21">
        <f t="shared" si="7"/>
        <v>195.5</v>
      </c>
      <c r="I32" s="50"/>
      <c r="J32" s="50"/>
      <c r="K32" s="50"/>
      <c r="L32" s="50"/>
      <c r="M32" s="50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>
        <v>170</v>
      </c>
      <c r="AL32" s="21">
        <f t="shared" si="8"/>
        <v>170</v>
      </c>
      <c r="AM32" s="21">
        <f t="shared" si="9"/>
        <v>0</v>
      </c>
    </row>
    <row r="33" spans="1:39" x14ac:dyDescent="0.25">
      <c r="A33" s="18"/>
      <c r="B33" s="59"/>
      <c r="C33" s="2"/>
      <c r="D33" s="19"/>
      <c r="E33" s="19"/>
      <c r="F33" s="21">
        <f t="shared" si="5"/>
        <v>0</v>
      </c>
      <c r="G33" s="21">
        <f t="shared" si="6"/>
        <v>0</v>
      </c>
      <c r="H33" s="21">
        <f t="shared" si="7"/>
        <v>0</v>
      </c>
      <c r="I33" s="50"/>
      <c r="J33" s="50"/>
      <c r="K33" s="50"/>
      <c r="L33" s="50"/>
      <c r="M33" s="50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1">
        <f t="shared" si="8"/>
        <v>0</v>
      </c>
      <c r="AM33" s="21">
        <f t="shared" si="9"/>
        <v>0</v>
      </c>
    </row>
    <row r="34" spans="1:39" x14ac:dyDescent="0.25">
      <c r="A34" s="18"/>
      <c r="B34" s="59"/>
      <c r="C34" s="2"/>
      <c r="D34" s="19"/>
      <c r="E34" s="19"/>
      <c r="F34" s="21">
        <f t="shared" si="5"/>
        <v>0</v>
      </c>
      <c r="G34" s="21">
        <f t="shared" si="6"/>
        <v>0</v>
      </c>
      <c r="H34" s="21">
        <f t="shared" si="7"/>
        <v>0</v>
      </c>
      <c r="I34" s="50"/>
      <c r="J34" s="50"/>
      <c r="K34" s="50"/>
      <c r="L34" s="50"/>
      <c r="M34" s="50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1">
        <f t="shared" si="8"/>
        <v>0</v>
      </c>
      <c r="AM34" s="21">
        <f t="shared" si="9"/>
        <v>0</v>
      </c>
    </row>
    <row r="35" spans="1:39" x14ac:dyDescent="0.25">
      <c r="A35" s="18"/>
      <c r="B35" s="59"/>
      <c r="C35" s="2"/>
      <c r="D35" s="19"/>
      <c r="E35" s="19"/>
      <c r="F35" s="21">
        <f t="shared" si="5"/>
        <v>0</v>
      </c>
      <c r="G35" s="21">
        <f t="shared" si="6"/>
        <v>0</v>
      </c>
      <c r="H35" s="21">
        <f t="shared" si="7"/>
        <v>0</v>
      </c>
      <c r="I35" s="50"/>
      <c r="J35" s="50"/>
      <c r="K35" s="50"/>
      <c r="L35" s="50"/>
      <c r="M35" s="50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1">
        <f t="shared" si="8"/>
        <v>0</v>
      </c>
      <c r="AM35" s="21">
        <f t="shared" si="9"/>
        <v>0</v>
      </c>
    </row>
    <row r="36" spans="1:39" x14ac:dyDescent="0.25">
      <c r="A36" s="18"/>
      <c r="B36" s="59"/>
      <c r="C36" s="2"/>
      <c r="D36" s="19"/>
      <c r="E36" s="19"/>
      <c r="F36" s="21">
        <f t="shared" si="5"/>
        <v>0</v>
      </c>
      <c r="G36" s="21">
        <f t="shared" si="6"/>
        <v>0</v>
      </c>
      <c r="H36" s="21">
        <f t="shared" si="7"/>
        <v>0</v>
      </c>
      <c r="I36" s="50"/>
      <c r="J36" s="50"/>
      <c r="K36" s="50"/>
      <c r="L36" s="50"/>
      <c r="M36" s="50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1">
        <f t="shared" si="8"/>
        <v>0</v>
      </c>
      <c r="AM36" s="21">
        <f t="shared" si="9"/>
        <v>0</v>
      </c>
    </row>
    <row r="37" spans="1:39" ht="15.75" thickBot="1" x14ac:dyDescent="0.3">
      <c r="A37" s="18"/>
      <c r="B37" s="59"/>
      <c r="C37" s="2"/>
      <c r="D37" s="19"/>
      <c r="E37" s="19"/>
      <c r="F37" s="21">
        <f t="shared" si="5"/>
        <v>0</v>
      </c>
      <c r="G37" s="21">
        <f t="shared" si="6"/>
        <v>0</v>
      </c>
      <c r="H37" s="21">
        <f t="shared" si="7"/>
        <v>0</v>
      </c>
      <c r="I37" s="50"/>
      <c r="J37" s="50"/>
      <c r="K37" s="50"/>
      <c r="L37" s="50"/>
      <c r="M37" s="50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1">
        <f t="shared" si="8"/>
        <v>0</v>
      </c>
      <c r="AM37" s="21">
        <f t="shared" si="9"/>
        <v>0</v>
      </c>
    </row>
    <row r="38" spans="1:39" s="48" customFormat="1" ht="19.5" thickBot="1" x14ac:dyDescent="0.35">
      <c r="A38" s="67" t="s">
        <v>110</v>
      </c>
      <c r="B38" s="68"/>
      <c r="C38" s="69"/>
      <c r="D38" s="46">
        <f>SUM(D5:D37)</f>
        <v>35834</v>
      </c>
      <c r="E38" s="46">
        <f>SUM(E5:E37)</f>
        <v>42928.97</v>
      </c>
      <c r="F38" s="46">
        <f>SUM(F5:F37)</f>
        <v>7094.9699999999993</v>
      </c>
      <c r="G38" s="46">
        <f>SUM(G5:G37)</f>
        <v>4656.75</v>
      </c>
      <c r="H38" s="46"/>
      <c r="I38" s="46">
        <f>SUM(I5:I37)</f>
        <v>25697.22</v>
      </c>
      <c r="J38" s="46"/>
      <c r="K38" s="46"/>
      <c r="L38" s="46"/>
      <c r="M38" s="46">
        <f>SUM(M5:M37)</f>
        <v>650</v>
      </c>
      <c r="N38" s="46"/>
      <c r="O38" s="46"/>
      <c r="P38" s="46"/>
      <c r="Q38" s="46">
        <f>SUM(Q5:Q37)</f>
        <v>643.75</v>
      </c>
      <c r="R38" s="46"/>
      <c r="S38" s="46"/>
      <c r="T38" s="46"/>
      <c r="U38" s="46">
        <f>SUM(U5:U37)</f>
        <v>0</v>
      </c>
      <c r="V38" s="46"/>
      <c r="W38" s="46"/>
      <c r="X38" s="46"/>
      <c r="Y38" s="46">
        <f>SUM(Y5:Y37)</f>
        <v>0</v>
      </c>
      <c r="Z38" s="46"/>
      <c r="AA38" s="46"/>
      <c r="AB38" s="46"/>
      <c r="AC38" s="46">
        <f>SUM(AC5:AC37)</f>
        <v>0</v>
      </c>
      <c r="AD38" s="46"/>
      <c r="AE38" s="46"/>
      <c r="AF38" s="46"/>
      <c r="AG38" s="46">
        <f>SUM(AG5:AG37)</f>
        <v>0</v>
      </c>
      <c r="AH38" s="46"/>
      <c r="AI38" s="46"/>
      <c r="AJ38" s="46"/>
      <c r="AK38" s="46">
        <f>SUM(AK5:AK37)</f>
        <v>15937.25</v>
      </c>
      <c r="AL38" s="46">
        <f>SUM(AL5:AL37)</f>
        <v>42928.22</v>
      </c>
      <c r="AM38" s="47"/>
    </row>
    <row r="39" spans="1:39" x14ac:dyDescent="0.25">
      <c r="A39" s="17">
        <v>46214</v>
      </c>
      <c r="B39" s="59">
        <v>0.92638888888888893</v>
      </c>
      <c r="C39" s="3" t="s">
        <v>204</v>
      </c>
      <c r="D39" s="19">
        <v>110</v>
      </c>
      <c r="E39" s="19">
        <v>110</v>
      </c>
      <c r="F39" s="21">
        <f t="shared" ref="F39" si="15">+E39-D39</f>
        <v>0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>
        <v>110</v>
      </c>
      <c r="AL39" s="21">
        <f>SUM(I39:AK39)</f>
        <v>110</v>
      </c>
      <c r="AM39" s="21">
        <f>+AL39-E39</f>
        <v>0</v>
      </c>
    </row>
    <row r="40" spans="1:39" x14ac:dyDescent="0.25">
      <c r="A40" s="18">
        <v>46214</v>
      </c>
      <c r="B40" s="59">
        <v>0.9604166666666667</v>
      </c>
      <c r="C40" s="2" t="s">
        <v>362</v>
      </c>
      <c r="D40" s="19">
        <v>470</v>
      </c>
      <c r="E40" s="19">
        <v>540.5</v>
      </c>
      <c r="F40" s="21">
        <f t="shared" si="2"/>
        <v>70.5</v>
      </c>
      <c r="G40" s="21">
        <f t="shared" si="3"/>
        <v>70.5</v>
      </c>
      <c r="H40" s="21">
        <f t="shared" si="4"/>
        <v>540.5</v>
      </c>
      <c r="I40" s="19">
        <v>540.5</v>
      </c>
      <c r="J40" s="19" t="s">
        <v>66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1">
        <f t="shared" ref="AL40:AL73" si="16">SUM(I40:AK40)</f>
        <v>540.5</v>
      </c>
      <c r="AM40" s="21">
        <f t="shared" ref="AM40:AM73" si="17">+AL40-E40</f>
        <v>0</v>
      </c>
    </row>
    <row r="41" spans="1:39" x14ac:dyDescent="0.25">
      <c r="A41" s="17">
        <v>46214</v>
      </c>
      <c r="B41" s="59">
        <v>0.99305555555555558</v>
      </c>
      <c r="C41" s="3" t="s">
        <v>363</v>
      </c>
      <c r="D41" s="19">
        <v>1240</v>
      </c>
      <c r="E41" s="19">
        <v>1400</v>
      </c>
      <c r="F41" s="21">
        <f t="shared" si="2"/>
        <v>160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>
        <v>1400</v>
      </c>
      <c r="AL41" s="21">
        <f t="shared" si="16"/>
        <v>1400</v>
      </c>
      <c r="AM41" s="21">
        <f t="shared" si="17"/>
        <v>0</v>
      </c>
    </row>
    <row r="42" spans="1:39" x14ac:dyDescent="0.25">
      <c r="A42" s="18">
        <v>46214</v>
      </c>
      <c r="B42" s="59">
        <v>0.99791666666666667</v>
      </c>
      <c r="C42" s="2" t="s">
        <v>364</v>
      </c>
      <c r="D42" s="19">
        <v>2360</v>
      </c>
      <c r="E42" s="19">
        <v>2715</v>
      </c>
      <c r="F42" s="21">
        <f t="shared" si="2"/>
        <v>355</v>
      </c>
      <c r="G42" s="21">
        <f t="shared" si="3"/>
        <v>354</v>
      </c>
      <c r="H42" s="21">
        <f t="shared" si="4"/>
        <v>2714</v>
      </c>
      <c r="I42" s="19">
        <v>2715</v>
      </c>
      <c r="J42" s="19" t="s">
        <v>66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50"/>
      <c r="AL42" s="21">
        <f t="shared" si="16"/>
        <v>2715</v>
      </c>
      <c r="AM42" s="21">
        <f t="shared" si="17"/>
        <v>0</v>
      </c>
    </row>
    <row r="43" spans="1:39" x14ac:dyDescent="0.25">
      <c r="A43" s="18">
        <v>46214</v>
      </c>
      <c r="B43" s="59">
        <v>1.0416666666666666E-2</v>
      </c>
      <c r="C43" s="2" t="s">
        <v>365</v>
      </c>
      <c r="D43" s="19">
        <v>210</v>
      </c>
      <c r="E43" s="19">
        <v>241.5</v>
      </c>
      <c r="F43" s="21">
        <f t="shared" si="2"/>
        <v>31.5</v>
      </c>
      <c r="G43" s="21">
        <f t="shared" si="3"/>
        <v>31.5</v>
      </c>
      <c r="H43" s="21">
        <f t="shared" si="4"/>
        <v>241.5</v>
      </c>
      <c r="I43" s="19">
        <v>241.5</v>
      </c>
      <c r="J43" s="19" t="s">
        <v>66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50"/>
      <c r="AL43" s="21">
        <f t="shared" si="16"/>
        <v>241.5</v>
      </c>
      <c r="AM43" s="21">
        <f t="shared" si="17"/>
        <v>0</v>
      </c>
    </row>
    <row r="44" spans="1:39" x14ac:dyDescent="0.25">
      <c r="A44" s="17">
        <v>46214</v>
      </c>
      <c r="B44" s="59">
        <v>1.8055555555555554E-2</v>
      </c>
      <c r="C44" s="3" t="s">
        <v>366</v>
      </c>
      <c r="D44" s="19">
        <v>660</v>
      </c>
      <c r="E44" s="19">
        <v>759</v>
      </c>
      <c r="F44" s="21">
        <f t="shared" si="2"/>
        <v>99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49">
        <v>759</v>
      </c>
      <c r="AL44" s="21">
        <f t="shared" si="16"/>
        <v>759</v>
      </c>
      <c r="AM44" s="21">
        <f t="shared" si="17"/>
        <v>0</v>
      </c>
    </row>
    <row r="45" spans="1:39" x14ac:dyDescent="0.25">
      <c r="A45" s="17"/>
      <c r="B45" s="59"/>
      <c r="C45" s="3"/>
      <c r="D45" s="19"/>
      <c r="E45" s="19"/>
      <c r="F45" s="21">
        <f t="shared" si="2"/>
        <v>0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49"/>
      <c r="AL45" s="21">
        <f t="shared" si="16"/>
        <v>0</v>
      </c>
      <c r="AM45" s="21">
        <f t="shared" si="17"/>
        <v>0</v>
      </c>
    </row>
    <row r="46" spans="1:39" x14ac:dyDescent="0.25">
      <c r="A46" s="18"/>
      <c r="B46" s="59"/>
      <c r="C46" s="2"/>
      <c r="D46" s="19"/>
      <c r="E46" s="19"/>
      <c r="F46" s="21">
        <f t="shared" si="2"/>
        <v>0</v>
      </c>
      <c r="G46" s="21">
        <f t="shared" si="3"/>
        <v>0</v>
      </c>
      <c r="H46" s="21">
        <f t="shared" si="4"/>
        <v>0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50"/>
      <c r="AL46" s="21">
        <f t="shared" si="16"/>
        <v>0</v>
      </c>
      <c r="AM46" s="21">
        <f t="shared" si="17"/>
        <v>0</v>
      </c>
    </row>
    <row r="47" spans="1:39" x14ac:dyDescent="0.25">
      <c r="A47" s="18"/>
      <c r="B47" s="59"/>
      <c r="C47" s="2"/>
      <c r="D47" s="19"/>
      <c r="E47" s="19"/>
      <c r="F47" s="21">
        <f t="shared" si="2"/>
        <v>0</v>
      </c>
      <c r="G47" s="21">
        <f t="shared" si="3"/>
        <v>0</v>
      </c>
      <c r="H47" s="21">
        <f t="shared" si="4"/>
        <v>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50"/>
      <c r="AL47" s="21">
        <f t="shared" si="16"/>
        <v>0</v>
      </c>
      <c r="AM47" s="21">
        <f t="shared" si="17"/>
        <v>0</v>
      </c>
    </row>
    <row r="48" spans="1:39" x14ac:dyDescent="0.25">
      <c r="A48" s="18"/>
      <c r="B48" s="59"/>
      <c r="C48" s="2"/>
      <c r="D48" s="19"/>
      <c r="E48" s="19"/>
      <c r="F48" s="21">
        <f t="shared" si="2"/>
        <v>0</v>
      </c>
      <c r="G48" s="21">
        <f t="shared" si="3"/>
        <v>0</v>
      </c>
      <c r="H48" s="21">
        <f t="shared" si="4"/>
        <v>0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50"/>
      <c r="AL48" s="21">
        <f t="shared" si="16"/>
        <v>0</v>
      </c>
      <c r="AM48" s="21">
        <f t="shared" si="17"/>
        <v>0</v>
      </c>
    </row>
    <row r="49" spans="1:39" x14ac:dyDescent="0.25">
      <c r="A49" s="18"/>
      <c r="B49" s="59"/>
      <c r="C49" s="2"/>
      <c r="D49" s="19"/>
      <c r="E49" s="19"/>
      <c r="F49" s="21">
        <f t="shared" si="2"/>
        <v>0</v>
      </c>
      <c r="G49" s="21">
        <f t="shared" si="3"/>
        <v>0</v>
      </c>
      <c r="H49" s="21">
        <f t="shared" si="4"/>
        <v>0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50"/>
      <c r="AL49" s="21">
        <f t="shared" si="16"/>
        <v>0</v>
      </c>
      <c r="AM49" s="21">
        <f t="shared" si="17"/>
        <v>0</v>
      </c>
    </row>
    <row r="50" spans="1:39" x14ac:dyDescent="0.25">
      <c r="A50" s="18"/>
      <c r="B50" s="59"/>
      <c r="C50" s="2"/>
      <c r="D50" s="19"/>
      <c r="E50" s="19"/>
      <c r="F50" s="21">
        <f t="shared" si="2"/>
        <v>0</v>
      </c>
      <c r="G50" s="21">
        <f t="shared" si="3"/>
        <v>0</v>
      </c>
      <c r="H50" s="21">
        <f t="shared" si="4"/>
        <v>0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50"/>
      <c r="AL50" s="21">
        <f t="shared" si="16"/>
        <v>0</v>
      </c>
      <c r="AM50" s="21">
        <f t="shared" si="17"/>
        <v>0</v>
      </c>
    </row>
    <row r="51" spans="1:39" x14ac:dyDescent="0.25">
      <c r="A51" s="17"/>
      <c r="B51" s="59"/>
      <c r="C51" s="3"/>
      <c r="D51" s="19"/>
      <c r="E51" s="19"/>
      <c r="F51" s="21">
        <f t="shared" si="2"/>
        <v>0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49"/>
      <c r="AL51" s="21">
        <f t="shared" si="16"/>
        <v>0</v>
      </c>
      <c r="AM51" s="21">
        <f t="shared" si="17"/>
        <v>0</v>
      </c>
    </row>
    <row r="52" spans="1:39" x14ac:dyDescent="0.25">
      <c r="A52" s="18"/>
      <c r="B52" s="59"/>
      <c r="C52" s="2"/>
      <c r="D52" s="19"/>
      <c r="E52" s="19"/>
      <c r="F52" s="21">
        <f t="shared" si="2"/>
        <v>0</v>
      </c>
      <c r="G52" s="21">
        <f t="shared" si="3"/>
        <v>0</v>
      </c>
      <c r="H52" s="21">
        <f t="shared" si="4"/>
        <v>0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50"/>
      <c r="AL52" s="21">
        <f t="shared" si="16"/>
        <v>0</v>
      </c>
      <c r="AM52" s="21">
        <f t="shared" si="17"/>
        <v>0</v>
      </c>
    </row>
    <row r="53" spans="1:39" x14ac:dyDescent="0.25">
      <c r="A53" s="18"/>
      <c r="B53" s="59"/>
      <c r="C53" s="2"/>
      <c r="D53" s="19"/>
      <c r="E53" s="19"/>
      <c r="F53" s="21">
        <f t="shared" si="2"/>
        <v>0</v>
      </c>
      <c r="G53" s="21">
        <f t="shared" si="3"/>
        <v>0</v>
      </c>
      <c r="H53" s="21">
        <f t="shared" si="4"/>
        <v>0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50"/>
      <c r="AL53" s="21">
        <f t="shared" si="16"/>
        <v>0</v>
      </c>
      <c r="AM53" s="21">
        <f t="shared" si="17"/>
        <v>0</v>
      </c>
    </row>
    <row r="54" spans="1:39" x14ac:dyDescent="0.25">
      <c r="A54" s="17"/>
      <c r="B54" s="59"/>
      <c r="C54" s="3"/>
      <c r="D54" s="19"/>
      <c r="E54" s="19"/>
      <c r="F54" s="21">
        <f t="shared" si="2"/>
        <v>0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49"/>
      <c r="AL54" s="21">
        <f t="shared" si="16"/>
        <v>0</v>
      </c>
      <c r="AM54" s="21">
        <f t="shared" si="17"/>
        <v>0</v>
      </c>
    </row>
    <row r="55" spans="1:39" x14ac:dyDescent="0.25">
      <c r="A55" s="18"/>
      <c r="B55" s="59"/>
      <c r="C55" s="2"/>
      <c r="D55" s="19"/>
      <c r="E55" s="19"/>
      <c r="F55" s="21">
        <f t="shared" si="2"/>
        <v>0</v>
      </c>
      <c r="G55" s="21">
        <f t="shared" si="3"/>
        <v>0</v>
      </c>
      <c r="H55" s="21">
        <f t="shared" si="4"/>
        <v>0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50"/>
      <c r="AL55" s="21">
        <f t="shared" si="16"/>
        <v>0</v>
      </c>
      <c r="AM55" s="21">
        <f t="shared" si="17"/>
        <v>0</v>
      </c>
    </row>
    <row r="56" spans="1:39" x14ac:dyDescent="0.25">
      <c r="A56" s="18"/>
      <c r="B56" s="59"/>
      <c r="C56" s="2"/>
      <c r="D56" s="19"/>
      <c r="E56" s="19"/>
      <c r="F56" s="21">
        <f t="shared" si="2"/>
        <v>0</v>
      </c>
      <c r="G56" s="21">
        <f t="shared" si="3"/>
        <v>0</v>
      </c>
      <c r="H56" s="21">
        <f t="shared" si="4"/>
        <v>0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50"/>
      <c r="AL56" s="21">
        <f t="shared" si="16"/>
        <v>0</v>
      </c>
      <c r="AM56" s="21">
        <f t="shared" si="17"/>
        <v>0</v>
      </c>
    </row>
    <row r="57" spans="1:39" x14ac:dyDescent="0.25">
      <c r="A57" s="17"/>
      <c r="B57" s="59"/>
      <c r="C57" s="3"/>
      <c r="D57" s="19"/>
      <c r="E57" s="19"/>
      <c r="F57" s="21">
        <f t="shared" si="2"/>
        <v>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49"/>
      <c r="AL57" s="21">
        <f t="shared" si="16"/>
        <v>0</v>
      </c>
      <c r="AM57" s="21">
        <f t="shared" si="17"/>
        <v>0</v>
      </c>
    </row>
    <row r="58" spans="1:39" x14ac:dyDescent="0.25">
      <c r="A58" s="18"/>
      <c r="B58" s="59"/>
      <c r="C58" s="2"/>
      <c r="D58" s="19"/>
      <c r="E58" s="19"/>
      <c r="F58" s="21">
        <f t="shared" si="2"/>
        <v>0</v>
      </c>
      <c r="G58" s="21">
        <f t="shared" si="3"/>
        <v>0</v>
      </c>
      <c r="H58" s="21">
        <f t="shared" si="4"/>
        <v>0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50"/>
      <c r="AL58" s="21">
        <f t="shared" si="16"/>
        <v>0</v>
      </c>
      <c r="AM58" s="21">
        <f t="shared" si="17"/>
        <v>0</v>
      </c>
    </row>
    <row r="59" spans="1:39" x14ac:dyDescent="0.25">
      <c r="A59" s="18"/>
      <c r="B59" s="59"/>
      <c r="C59" s="2"/>
      <c r="D59" s="19"/>
      <c r="E59" s="19"/>
      <c r="F59" s="21">
        <f t="shared" si="2"/>
        <v>0</v>
      </c>
      <c r="G59" s="21">
        <f t="shared" si="3"/>
        <v>0</v>
      </c>
      <c r="H59" s="21">
        <f t="shared" si="4"/>
        <v>0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50"/>
      <c r="AL59" s="21">
        <f t="shared" si="16"/>
        <v>0</v>
      </c>
      <c r="AM59" s="21">
        <f t="shared" si="17"/>
        <v>0</v>
      </c>
    </row>
    <row r="60" spans="1:39" x14ac:dyDescent="0.25">
      <c r="A60" s="18"/>
      <c r="B60" s="59"/>
      <c r="C60" s="2"/>
      <c r="D60" s="19"/>
      <c r="E60" s="19"/>
      <c r="F60" s="21">
        <f t="shared" si="2"/>
        <v>0</v>
      </c>
      <c r="G60" s="21">
        <f t="shared" si="3"/>
        <v>0</v>
      </c>
      <c r="H60" s="21">
        <f t="shared" si="4"/>
        <v>0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50"/>
      <c r="AL60" s="21">
        <f t="shared" si="16"/>
        <v>0</v>
      </c>
      <c r="AM60" s="21">
        <f t="shared" si="17"/>
        <v>0</v>
      </c>
    </row>
    <row r="61" spans="1:39" x14ac:dyDescent="0.25">
      <c r="A61" s="17"/>
      <c r="B61" s="59"/>
      <c r="C61" s="3"/>
      <c r="D61" s="19"/>
      <c r="E61" s="19"/>
      <c r="F61" s="21">
        <f t="shared" si="2"/>
        <v>0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49"/>
      <c r="AL61" s="21">
        <f t="shared" si="16"/>
        <v>0</v>
      </c>
      <c r="AM61" s="21">
        <f t="shared" si="17"/>
        <v>0</v>
      </c>
    </row>
    <row r="62" spans="1:39" x14ac:dyDescent="0.25">
      <c r="A62" s="18"/>
      <c r="B62" s="59"/>
      <c r="C62" s="2"/>
      <c r="D62" s="19"/>
      <c r="E62" s="19"/>
      <c r="F62" s="21">
        <f t="shared" si="2"/>
        <v>0</v>
      </c>
      <c r="G62" s="21">
        <f t="shared" si="3"/>
        <v>0</v>
      </c>
      <c r="H62" s="21">
        <f t="shared" si="4"/>
        <v>0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50"/>
      <c r="AL62" s="21">
        <f t="shared" si="16"/>
        <v>0</v>
      </c>
      <c r="AM62" s="21">
        <f t="shared" si="17"/>
        <v>0</v>
      </c>
    </row>
    <row r="63" spans="1:39" x14ac:dyDescent="0.25">
      <c r="A63" s="17"/>
      <c r="B63" s="59"/>
      <c r="C63" s="3"/>
      <c r="D63" s="19"/>
      <c r="E63" s="19"/>
      <c r="F63" s="21">
        <f t="shared" si="2"/>
        <v>0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49"/>
      <c r="AL63" s="21">
        <f t="shared" si="16"/>
        <v>0</v>
      </c>
      <c r="AM63" s="21">
        <f t="shared" si="17"/>
        <v>0</v>
      </c>
    </row>
    <row r="64" spans="1:39" x14ac:dyDescent="0.25">
      <c r="A64" s="17"/>
      <c r="B64" s="59"/>
      <c r="C64" s="3"/>
      <c r="D64" s="19"/>
      <c r="E64" s="19"/>
      <c r="F64" s="21">
        <f t="shared" si="2"/>
        <v>0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49"/>
      <c r="AL64" s="21">
        <f t="shared" si="16"/>
        <v>0</v>
      </c>
      <c r="AM64" s="21">
        <f t="shared" si="17"/>
        <v>0</v>
      </c>
    </row>
    <row r="65" spans="1:39" x14ac:dyDescent="0.25">
      <c r="A65" s="17"/>
      <c r="B65" s="59"/>
      <c r="C65" s="3"/>
      <c r="D65" s="19"/>
      <c r="E65" s="19"/>
      <c r="F65" s="21">
        <f t="shared" si="2"/>
        <v>0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49"/>
      <c r="AL65" s="21">
        <f t="shared" si="16"/>
        <v>0</v>
      </c>
      <c r="AM65" s="21">
        <f t="shared" si="17"/>
        <v>0</v>
      </c>
    </row>
    <row r="66" spans="1:39" x14ac:dyDescent="0.25">
      <c r="A66" s="17"/>
      <c r="B66" s="59"/>
      <c r="C66" s="3"/>
      <c r="D66" s="19"/>
      <c r="E66" s="19"/>
      <c r="F66" s="21">
        <f t="shared" si="2"/>
        <v>0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49"/>
      <c r="AL66" s="21">
        <f t="shared" si="16"/>
        <v>0</v>
      </c>
      <c r="AM66" s="21">
        <f t="shared" si="17"/>
        <v>0</v>
      </c>
    </row>
    <row r="67" spans="1:39" x14ac:dyDescent="0.25">
      <c r="A67" s="18"/>
      <c r="B67" s="59"/>
      <c r="C67" s="2"/>
      <c r="D67" s="19"/>
      <c r="E67" s="19"/>
      <c r="F67" s="21">
        <f t="shared" si="2"/>
        <v>0</v>
      </c>
      <c r="G67" s="21">
        <f t="shared" si="3"/>
        <v>0</v>
      </c>
      <c r="H67" s="21">
        <f t="shared" si="4"/>
        <v>0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50"/>
      <c r="AL67" s="21">
        <f t="shared" si="16"/>
        <v>0</v>
      </c>
      <c r="AM67" s="21">
        <f t="shared" si="17"/>
        <v>0</v>
      </c>
    </row>
    <row r="68" spans="1:39" x14ac:dyDescent="0.25">
      <c r="A68" s="18"/>
      <c r="B68" s="59"/>
      <c r="C68" s="2"/>
      <c r="D68" s="19"/>
      <c r="E68" s="19"/>
      <c r="F68" s="21">
        <f t="shared" si="2"/>
        <v>0</v>
      </c>
      <c r="G68" s="21">
        <f t="shared" si="3"/>
        <v>0</v>
      </c>
      <c r="H68" s="21">
        <f t="shared" si="4"/>
        <v>0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50"/>
      <c r="AL68" s="21">
        <f t="shared" si="16"/>
        <v>0</v>
      </c>
      <c r="AM68" s="21">
        <f t="shared" si="17"/>
        <v>0</v>
      </c>
    </row>
    <row r="69" spans="1:39" x14ac:dyDescent="0.25">
      <c r="A69" s="17"/>
      <c r="B69" s="59"/>
      <c r="C69" s="3"/>
      <c r="D69" s="19"/>
      <c r="E69" s="19"/>
      <c r="F69" s="21">
        <f t="shared" si="2"/>
        <v>0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49"/>
      <c r="AL69" s="21">
        <f t="shared" si="16"/>
        <v>0</v>
      </c>
      <c r="AM69" s="21">
        <f t="shared" si="17"/>
        <v>0</v>
      </c>
    </row>
    <row r="70" spans="1:39" x14ac:dyDescent="0.25">
      <c r="A70" s="17"/>
      <c r="B70" s="59"/>
      <c r="C70" s="3"/>
      <c r="D70" s="19"/>
      <c r="E70" s="19"/>
      <c r="F70" s="21">
        <f t="shared" si="2"/>
        <v>0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49"/>
      <c r="AL70" s="21">
        <f t="shared" si="16"/>
        <v>0</v>
      </c>
      <c r="AM70" s="21">
        <f t="shared" si="17"/>
        <v>0</v>
      </c>
    </row>
    <row r="71" spans="1:39" x14ac:dyDescent="0.25">
      <c r="A71" s="17"/>
      <c r="B71" s="59"/>
      <c r="C71" s="3"/>
      <c r="D71" s="19"/>
      <c r="E71" s="19"/>
      <c r="F71" s="21">
        <f t="shared" si="2"/>
        <v>0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49"/>
      <c r="AL71" s="21">
        <f t="shared" si="16"/>
        <v>0</v>
      </c>
      <c r="AM71" s="21">
        <f t="shared" si="17"/>
        <v>0</v>
      </c>
    </row>
    <row r="72" spans="1:39" x14ac:dyDescent="0.25">
      <c r="A72" s="17"/>
      <c r="B72" s="59"/>
      <c r="C72" s="3"/>
      <c r="D72" s="19"/>
      <c r="E72" s="19"/>
      <c r="F72" s="21">
        <f t="shared" si="2"/>
        <v>0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49"/>
      <c r="AL72" s="21">
        <f t="shared" si="16"/>
        <v>0</v>
      </c>
      <c r="AM72" s="21">
        <f t="shared" si="17"/>
        <v>0</v>
      </c>
    </row>
    <row r="73" spans="1:39" ht="15.75" thickBot="1" x14ac:dyDescent="0.3">
      <c r="A73" s="17"/>
      <c r="B73" s="59"/>
      <c r="C73" s="3"/>
      <c r="D73" s="19"/>
      <c r="E73" s="19"/>
      <c r="F73" s="21">
        <f t="shared" si="2"/>
        <v>0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>
        <f t="shared" si="16"/>
        <v>0</v>
      </c>
      <c r="AM73" s="21">
        <f t="shared" si="17"/>
        <v>0</v>
      </c>
    </row>
    <row r="74" spans="1:39" s="48" customFormat="1" ht="19.5" thickBot="1" x14ac:dyDescent="0.35">
      <c r="A74" s="67" t="s">
        <v>110</v>
      </c>
      <c r="B74" s="68"/>
      <c r="C74" s="69"/>
      <c r="D74" s="46">
        <f>SUM(D40:D73)</f>
        <v>4940</v>
      </c>
      <c r="E74" s="46">
        <f>SUM(E40:E73)</f>
        <v>5656</v>
      </c>
      <c r="F74" s="46">
        <f>SUM(F40:F73)</f>
        <v>716</v>
      </c>
      <c r="G74" s="46"/>
      <c r="H74" s="46"/>
      <c r="I74" s="46"/>
      <c r="J74" s="46"/>
      <c r="K74" s="46"/>
      <c r="L74" s="46"/>
      <c r="M74" s="46">
        <f>SUM(M40:M73)</f>
        <v>0</v>
      </c>
      <c r="N74" s="46"/>
      <c r="O74" s="46"/>
      <c r="P74" s="46"/>
      <c r="Q74" s="46">
        <f>SUM(Q40:Q73)</f>
        <v>0</v>
      </c>
      <c r="R74" s="46"/>
      <c r="S74" s="46"/>
      <c r="T74" s="46"/>
      <c r="U74" s="46">
        <f>SUM(U40:U73)</f>
        <v>0</v>
      </c>
      <c r="V74" s="46"/>
      <c r="W74" s="46"/>
      <c r="X74" s="46"/>
      <c r="Y74" s="46">
        <f>SUM(Y40:Y73)</f>
        <v>0</v>
      </c>
      <c r="Z74" s="46"/>
      <c r="AA74" s="46"/>
      <c r="AB74" s="46"/>
      <c r="AC74" s="46">
        <f>SUM(AC40:AC73)</f>
        <v>0</v>
      </c>
      <c r="AD74" s="46"/>
      <c r="AE74" s="46"/>
      <c r="AF74" s="46"/>
      <c r="AG74" s="46">
        <f>SUM(AG40:AG73)</f>
        <v>0</v>
      </c>
      <c r="AH74" s="46"/>
      <c r="AI74" s="46"/>
      <c r="AJ74" s="46">
        <f>SUM(AJ40:AJ73)</f>
        <v>0</v>
      </c>
      <c r="AK74" s="46">
        <f>SUM(AK39:AK73)</f>
        <v>2269</v>
      </c>
      <c r="AL74" s="46">
        <f>SUM(AL40:AL73)</f>
        <v>5656</v>
      </c>
      <c r="AM74" s="47"/>
    </row>
    <row r="75" spans="1:39" x14ac:dyDescent="0.25">
      <c r="A75" s="17"/>
      <c r="B75" s="55"/>
      <c r="C75" s="3"/>
      <c r="D75" s="21"/>
      <c r="E75" s="21"/>
      <c r="F75" s="21">
        <f t="shared" si="2"/>
        <v>0</v>
      </c>
      <c r="G75" s="21">
        <f t="shared" si="3"/>
        <v>0</v>
      </c>
      <c r="H75" s="21">
        <f t="shared" si="4"/>
        <v>0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>
        <f>SUM(I75:AK75)</f>
        <v>0</v>
      </c>
      <c r="AM75" s="21">
        <f>+AL75-E75</f>
        <v>0</v>
      </c>
    </row>
    <row r="76" spans="1:39" ht="14.25" customHeight="1" x14ac:dyDescent="0.25">
      <c r="A76" s="18"/>
      <c r="B76" s="56"/>
      <c r="C76" s="2"/>
      <c r="D76" s="19"/>
      <c r="E76" s="19"/>
      <c r="F76" s="21">
        <f t="shared" si="2"/>
        <v>0</v>
      </c>
      <c r="G76" s="21">
        <f t="shared" si="3"/>
        <v>0</v>
      </c>
      <c r="H76" s="21">
        <f t="shared" si="4"/>
        <v>0</v>
      </c>
      <c r="I76" s="5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1">
        <f t="shared" ref="AL76:AL108" si="18">SUM(I76:AK76)</f>
        <v>0</v>
      </c>
      <c r="AM76" s="21">
        <f t="shared" ref="AM76:AM108" si="19">+AL76-E76</f>
        <v>0</v>
      </c>
    </row>
    <row r="77" spans="1:39" x14ac:dyDescent="0.25">
      <c r="A77" s="18"/>
      <c r="B77" s="56"/>
      <c r="C77" s="2"/>
      <c r="D77" s="19"/>
      <c r="E77" s="19"/>
      <c r="F77" s="21">
        <f t="shared" si="2"/>
        <v>0</v>
      </c>
      <c r="G77" s="21">
        <f t="shared" si="3"/>
        <v>0</v>
      </c>
      <c r="H77" s="21">
        <f t="shared" si="4"/>
        <v>0</v>
      </c>
      <c r="I77" s="5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1">
        <f t="shared" si="18"/>
        <v>0</v>
      </c>
      <c r="AM77" s="21">
        <f t="shared" si="19"/>
        <v>0</v>
      </c>
    </row>
    <row r="78" spans="1:39" x14ac:dyDescent="0.25">
      <c r="A78" s="18"/>
      <c r="B78" s="56"/>
      <c r="C78" s="2"/>
      <c r="D78" s="19"/>
      <c r="E78" s="19"/>
      <c r="F78" s="21">
        <f t="shared" si="2"/>
        <v>0</v>
      </c>
      <c r="G78" s="21">
        <f t="shared" si="3"/>
        <v>0</v>
      </c>
      <c r="H78" s="21">
        <f t="shared" si="4"/>
        <v>0</v>
      </c>
      <c r="I78" s="5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1">
        <f t="shared" si="18"/>
        <v>0</v>
      </c>
      <c r="AM78" s="21">
        <f t="shared" si="19"/>
        <v>0</v>
      </c>
    </row>
    <row r="79" spans="1:39" x14ac:dyDescent="0.25">
      <c r="A79" s="18"/>
      <c r="B79" s="56"/>
      <c r="C79" s="2"/>
      <c r="D79" s="19"/>
      <c r="E79" s="19"/>
      <c r="F79" s="21">
        <f t="shared" si="2"/>
        <v>0</v>
      </c>
      <c r="G79" s="21">
        <f t="shared" si="3"/>
        <v>0</v>
      </c>
      <c r="H79" s="21">
        <f t="shared" si="4"/>
        <v>0</v>
      </c>
      <c r="I79" s="5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1">
        <f t="shared" si="18"/>
        <v>0</v>
      </c>
      <c r="AM79" s="21">
        <f t="shared" si="19"/>
        <v>0</v>
      </c>
    </row>
    <row r="80" spans="1:39" x14ac:dyDescent="0.25">
      <c r="A80" s="18"/>
      <c r="B80" s="56"/>
      <c r="C80" s="2"/>
      <c r="D80" s="19"/>
      <c r="E80" s="19"/>
      <c r="F80" s="21">
        <f t="shared" si="2"/>
        <v>0</v>
      </c>
      <c r="G80" s="21">
        <f t="shared" si="3"/>
        <v>0</v>
      </c>
      <c r="H80" s="21">
        <f t="shared" si="4"/>
        <v>0</v>
      </c>
      <c r="I80" s="5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1">
        <f t="shared" si="18"/>
        <v>0</v>
      </c>
      <c r="AM80" s="21">
        <f t="shared" si="19"/>
        <v>0</v>
      </c>
    </row>
    <row r="81" spans="1:39" x14ac:dyDescent="0.25">
      <c r="A81" s="18"/>
      <c r="B81" s="56"/>
      <c r="C81" s="2"/>
      <c r="D81" s="19"/>
      <c r="E81" s="19"/>
      <c r="F81" s="21">
        <f t="shared" si="2"/>
        <v>0</v>
      </c>
      <c r="G81" s="21">
        <f t="shared" si="3"/>
        <v>0</v>
      </c>
      <c r="H81" s="21">
        <f t="shared" si="4"/>
        <v>0</v>
      </c>
      <c r="I81" s="5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21">
        <f t="shared" si="18"/>
        <v>0</v>
      </c>
      <c r="AM81" s="21">
        <f t="shared" si="19"/>
        <v>0</v>
      </c>
    </row>
    <row r="82" spans="1:39" ht="14.25" customHeight="1" x14ac:dyDescent="0.25">
      <c r="A82" s="18"/>
      <c r="B82" s="56"/>
      <c r="C82" s="2"/>
      <c r="D82" s="19"/>
      <c r="E82" s="19"/>
      <c r="F82" s="21">
        <f t="shared" si="2"/>
        <v>0</v>
      </c>
      <c r="G82" s="21">
        <f t="shared" si="3"/>
        <v>0</v>
      </c>
      <c r="H82" s="21">
        <f t="shared" si="4"/>
        <v>0</v>
      </c>
      <c r="I82" s="5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21">
        <f t="shared" si="18"/>
        <v>0</v>
      </c>
      <c r="AM82" s="21">
        <f t="shared" si="19"/>
        <v>0</v>
      </c>
    </row>
    <row r="83" spans="1:39" ht="14.25" customHeight="1" x14ac:dyDescent="0.25">
      <c r="A83" s="18"/>
      <c r="B83" s="56"/>
      <c r="C83" s="2"/>
      <c r="D83" s="19"/>
      <c r="E83" s="19"/>
      <c r="F83" s="21">
        <f t="shared" si="2"/>
        <v>0</v>
      </c>
      <c r="G83" s="21">
        <f t="shared" si="3"/>
        <v>0</v>
      </c>
      <c r="H83" s="21">
        <f t="shared" si="4"/>
        <v>0</v>
      </c>
      <c r="I83" s="50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1">
        <f t="shared" si="18"/>
        <v>0</v>
      </c>
      <c r="AM83" s="21">
        <f t="shared" si="19"/>
        <v>0</v>
      </c>
    </row>
    <row r="84" spans="1:39" ht="14.25" customHeight="1" x14ac:dyDescent="0.25">
      <c r="A84" s="18"/>
      <c r="B84" s="56"/>
      <c r="C84" s="2"/>
      <c r="D84" s="19"/>
      <c r="E84" s="19"/>
      <c r="F84" s="21">
        <f t="shared" si="2"/>
        <v>0</v>
      </c>
      <c r="G84" s="21">
        <f t="shared" si="3"/>
        <v>0</v>
      </c>
      <c r="H84" s="21">
        <f t="shared" si="4"/>
        <v>0</v>
      </c>
      <c r="I84" s="5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21">
        <f t="shared" si="18"/>
        <v>0</v>
      </c>
      <c r="AM84" s="21">
        <f t="shared" si="19"/>
        <v>0</v>
      </c>
    </row>
    <row r="85" spans="1:39" ht="14.25" customHeight="1" x14ac:dyDescent="0.25">
      <c r="A85" s="18"/>
      <c r="B85" s="56"/>
      <c r="C85" s="2"/>
      <c r="D85" s="19"/>
      <c r="E85" s="19"/>
      <c r="F85" s="21">
        <f t="shared" si="2"/>
        <v>0</v>
      </c>
      <c r="G85" s="21">
        <f t="shared" si="3"/>
        <v>0</v>
      </c>
      <c r="H85" s="21">
        <f t="shared" si="4"/>
        <v>0</v>
      </c>
      <c r="I85" s="5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1">
        <f t="shared" si="18"/>
        <v>0</v>
      </c>
      <c r="AM85" s="21">
        <f t="shared" si="19"/>
        <v>0</v>
      </c>
    </row>
    <row r="86" spans="1:39" x14ac:dyDescent="0.25">
      <c r="A86" s="18"/>
      <c r="B86" s="56"/>
      <c r="C86" s="2"/>
      <c r="D86" s="19"/>
      <c r="E86" s="19"/>
      <c r="F86" s="21">
        <f t="shared" si="2"/>
        <v>0</v>
      </c>
      <c r="G86" s="21">
        <f t="shared" si="3"/>
        <v>0</v>
      </c>
      <c r="H86" s="21">
        <f t="shared" si="4"/>
        <v>0</v>
      </c>
      <c r="I86" s="5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21">
        <f t="shared" si="18"/>
        <v>0</v>
      </c>
      <c r="AM86" s="21">
        <f t="shared" si="19"/>
        <v>0</v>
      </c>
    </row>
    <row r="87" spans="1:39" x14ac:dyDescent="0.25">
      <c r="A87" s="18"/>
      <c r="B87" s="56"/>
      <c r="C87" s="2"/>
      <c r="D87" s="19"/>
      <c r="E87" s="19"/>
      <c r="F87" s="21">
        <f t="shared" si="2"/>
        <v>0</v>
      </c>
      <c r="G87" s="21">
        <f t="shared" si="3"/>
        <v>0</v>
      </c>
      <c r="H87" s="21">
        <f t="shared" si="4"/>
        <v>0</v>
      </c>
      <c r="I87" s="5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21">
        <f t="shared" si="18"/>
        <v>0</v>
      </c>
      <c r="AM87" s="21">
        <f t="shared" si="19"/>
        <v>0</v>
      </c>
    </row>
    <row r="88" spans="1:39" ht="14.25" customHeight="1" x14ac:dyDescent="0.25">
      <c r="A88" s="18"/>
      <c r="B88" s="56"/>
      <c r="C88" s="2"/>
      <c r="D88" s="19"/>
      <c r="E88" s="19"/>
      <c r="F88" s="21">
        <f t="shared" si="2"/>
        <v>0</v>
      </c>
      <c r="G88" s="21">
        <f t="shared" si="3"/>
        <v>0</v>
      </c>
      <c r="H88" s="21">
        <f t="shared" si="4"/>
        <v>0</v>
      </c>
      <c r="I88" s="5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21">
        <f t="shared" si="18"/>
        <v>0</v>
      </c>
      <c r="AM88" s="21">
        <f t="shared" si="19"/>
        <v>0</v>
      </c>
    </row>
    <row r="89" spans="1:39" x14ac:dyDescent="0.25">
      <c r="A89" s="18"/>
      <c r="B89" s="56"/>
      <c r="C89" s="2"/>
      <c r="D89" s="19"/>
      <c r="E89" s="19"/>
      <c r="F89" s="21">
        <f t="shared" si="2"/>
        <v>0</v>
      </c>
      <c r="G89" s="21">
        <f t="shared" si="3"/>
        <v>0</v>
      </c>
      <c r="H89" s="21">
        <f t="shared" si="4"/>
        <v>0</v>
      </c>
      <c r="I89" s="5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1">
        <f t="shared" si="18"/>
        <v>0</v>
      </c>
      <c r="AM89" s="21">
        <f t="shared" si="19"/>
        <v>0</v>
      </c>
    </row>
    <row r="90" spans="1:39" x14ac:dyDescent="0.25">
      <c r="A90" s="18"/>
      <c r="B90" s="56"/>
      <c r="C90" s="2"/>
      <c r="D90" s="19"/>
      <c r="E90" s="19"/>
      <c r="F90" s="21">
        <f t="shared" si="2"/>
        <v>0</v>
      </c>
      <c r="G90" s="21">
        <f t="shared" si="3"/>
        <v>0</v>
      </c>
      <c r="H90" s="21">
        <f t="shared" si="4"/>
        <v>0</v>
      </c>
      <c r="I90" s="5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21">
        <f t="shared" si="18"/>
        <v>0</v>
      </c>
      <c r="AM90" s="21">
        <f t="shared" si="19"/>
        <v>0</v>
      </c>
    </row>
    <row r="91" spans="1:39" x14ac:dyDescent="0.25">
      <c r="A91" s="18"/>
      <c r="B91" s="56"/>
      <c r="C91" s="2"/>
      <c r="D91" s="19"/>
      <c r="E91" s="19"/>
      <c r="F91" s="21">
        <f t="shared" si="2"/>
        <v>0</v>
      </c>
      <c r="G91" s="21">
        <f t="shared" si="3"/>
        <v>0</v>
      </c>
      <c r="H91" s="21">
        <f t="shared" si="4"/>
        <v>0</v>
      </c>
      <c r="I91" s="5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21">
        <f t="shared" si="18"/>
        <v>0</v>
      </c>
      <c r="AM91" s="21">
        <f t="shared" si="19"/>
        <v>0</v>
      </c>
    </row>
    <row r="92" spans="1:39" x14ac:dyDescent="0.25">
      <c r="A92" s="18"/>
      <c r="B92" s="56"/>
      <c r="C92" s="2"/>
      <c r="D92" s="19"/>
      <c r="E92" s="19"/>
      <c r="F92" s="21">
        <f t="shared" si="2"/>
        <v>0</v>
      </c>
      <c r="G92" s="21">
        <f t="shared" si="3"/>
        <v>0</v>
      </c>
      <c r="H92" s="21">
        <f t="shared" si="4"/>
        <v>0</v>
      </c>
      <c r="I92" s="5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21">
        <f t="shared" si="18"/>
        <v>0</v>
      </c>
      <c r="AM92" s="21">
        <f t="shared" si="19"/>
        <v>0</v>
      </c>
    </row>
    <row r="93" spans="1:39" x14ac:dyDescent="0.25">
      <c r="A93" s="18"/>
      <c r="B93" s="56"/>
      <c r="C93" s="2"/>
      <c r="D93" s="19"/>
      <c r="E93" s="19"/>
      <c r="F93" s="21">
        <f t="shared" si="2"/>
        <v>0</v>
      </c>
      <c r="G93" s="21">
        <f t="shared" si="3"/>
        <v>0</v>
      </c>
      <c r="H93" s="21">
        <f t="shared" si="4"/>
        <v>0</v>
      </c>
      <c r="I93" s="5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21">
        <f t="shared" si="18"/>
        <v>0</v>
      </c>
      <c r="AM93" s="21">
        <f t="shared" si="19"/>
        <v>0</v>
      </c>
    </row>
    <row r="94" spans="1:39" x14ac:dyDescent="0.25">
      <c r="A94" s="18"/>
      <c r="B94" s="56"/>
      <c r="C94" s="2"/>
      <c r="D94" s="19"/>
      <c r="E94" s="19"/>
      <c r="F94" s="21">
        <f t="shared" si="2"/>
        <v>0</v>
      </c>
      <c r="G94" s="21">
        <f t="shared" si="3"/>
        <v>0</v>
      </c>
      <c r="H94" s="21">
        <f t="shared" si="4"/>
        <v>0</v>
      </c>
      <c r="I94" s="50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21">
        <f t="shared" si="18"/>
        <v>0</v>
      </c>
      <c r="AM94" s="21">
        <f t="shared" si="19"/>
        <v>0</v>
      </c>
    </row>
    <row r="95" spans="1:39" x14ac:dyDescent="0.25">
      <c r="A95" s="18"/>
      <c r="B95" s="56"/>
      <c r="C95" s="2"/>
      <c r="D95" s="19"/>
      <c r="E95" s="19"/>
      <c r="F95" s="21">
        <f t="shared" si="2"/>
        <v>0</v>
      </c>
      <c r="G95" s="21">
        <f t="shared" si="3"/>
        <v>0</v>
      </c>
      <c r="H95" s="21">
        <f t="shared" si="4"/>
        <v>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21">
        <f t="shared" si="18"/>
        <v>0</v>
      </c>
      <c r="AM95" s="21">
        <f t="shared" si="19"/>
        <v>0</v>
      </c>
    </row>
    <row r="96" spans="1:39" x14ac:dyDescent="0.25">
      <c r="A96" s="18"/>
      <c r="B96" s="56"/>
      <c r="C96" s="2"/>
      <c r="D96" s="19"/>
      <c r="E96" s="19"/>
      <c r="F96" s="21">
        <f t="shared" si="2"/>
        <v>0</v>
      </c>
      <c r="G96" s="21">
        <f t="shared" si="3"/>
        <v>0</v>
      </c>
      <c r="H96" s="21">
        <f t="shared" si="4"/>
        <v>0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21">
        <f t="shared" si="18"/>
        <v>0</v>
      </c>
      <c r="AM96" s="21">
        <f t="shared" si="19"/>
        <v>0</v>
      </c>
    </row>
    <row r="97" spans="1:39" x14ac:dyDescent="0.25">
      <c r="A97" s="18"/>
      <c r="B97" s="56"/>
      <c r="C97" s="2"/>
      <c r="D97" s="19"/>
      <c r="E97" s="19"/>
      <c r="F97" s="21">
        <f t="shared" si="2"/>
        <v>0</v>
      </c>
      <c r="G97" s="21">
        <f t="shared" si="3"/>
        <v>0</v>
      </c>
      <c r="H97" s="21">
        <f t="shared" si="4"/>
        <v>0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21">
        <f t="shared" si="18"/>
        <v>0</v>
      </c>
      <c r="AM97" s="21">
        <f t="shared" si="19"/>
        <v>0</v>
      </c>
    </row>
    <row r="98" spans="1:39" ht="14.25" customHeight="1" x14ac:dyDescent="0.25">
      <c r="A98" s="18"/>
      <c r="B98" s="56"/>
      <c r="C98" s="2"/>
      <c r="D98" s="19"/>
      <c r="E98" s="19"/>
      <c r="F98" s="21">
        <f t="shared" si="2"/>
        <v>0</v>
      </c>
      <c r="G98" s="21">
        <f t="shared" si="3"/>
        <v>0</v>
      </c>
      <c r="H98" s="21">
        <f t="shared" si="4"/>
        <v>0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21">
        <f t="shared" si="18"/>
        <v>0</v>
      </c>
      <c r="AM98" s="21">
        <f t="shared" si="19"/>
        <v>0</v>
      </c>
    </row>
    <row r="99" spans="1:39" ht="14.25" customHeight="1" x14ac:dyDescent="0.25">
      <c r="A99" s="18"/>
      <c r="B99" s="56"/>
      <c r="C99" s="2"/>
      <c r="D99" s="19"/>
      <c r="E99" s="19"/>
      <c r="F99" s="21">
        <f t="shared" si="2"/>
        <v>0</v>
      </c>
      <c r="G99" s="21">
        <f t="shared" si="3"/>
        <v>0</v>
      </c>
      <c r="H99" s="21">
        <f t="shared" si="4"/>
        <v>0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21">
        <f t="shared" si="18"/>
        <v>0</v>
      </c>
      <c r="AM99" s="21">
        <f t="shared" si="19"/>
        <v>0</v>
      </c>
    </row>
    <row r="100" spans="1:39" ht="14.25" customHeight="1" x14ac:dyDescent="0.25">
      <c r="A100" s="18"/>
      <c r="B100" s="56"/>
      <c r="C100" s="2"/>
      <c r="D100" s="19"/>
      <c r="E100" s="19"/>
      <c r="F100" s="21">
        <f t="shared" si="2"/>
        <v>0</v>
      </c>
      <c r="G100" s="21">
        <f t="shared" si="3"/>
        <v>0</v>
      </c>
      <c r="H100" s="21">
        <f t="shared" si="4"/>
        <v>0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21">
        <f t="shared" si="18"/>
        <v>0</v>
      </c>
      <c r="AM100" s="21">
        <f t="shared" si="19"/>
        <v>0</v>
      </c>
    </row>
    <row r="101" spans="1:39" x14ac:dyDescent="0.25">
      <c r="A101" s="18"/>
      <c r="B101" s="56"/>
      <c r="C101" s="2"/>
      <c r="D101" s="19"/>
      <c r="E101" s="19"/>
      <c r="F101" s="21">
        <f t="shared" si="2"/>
        <v>0</v>
      </c>
      <c r="G101" s="21">
        <f t="shared" si="3"/>
        <v>0</v>
      </c>
      <c r="H101" s="21">
        <f t="shared" si="4"/>
        <v>0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21">
        <f t="shared" si="18"/>
        <v>0</v>
      </c>
      <c r="AM101" s="21">
        <f t="shared" si="19"/>
        <v>0</v>
      </c>
    </row>
    <row r="102" spans="1:39" x14ac:dyDescent="0.25">
      <c r="A102" s="18"/>
      <c r="B102" s="56"/>
      <c r="C102" s="2"/>
      <c r="D102" s="19"/>
      <c r="E102" s="19"/>
      <c r="F102" s="21">
        <f t="shared" si="2"/>
        <v>0</v>
      </c>
      <c r="G102" s="21">
        <f t="shared" si="3"/>
        <v>0</v>
      </c>
      <c r="H102" s="21">
        <f t="shared" si="4"/>
        <v>0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21">
        <f t="shared" si="18"/>
        <v>0</v>
      </c>
      <c r="AM102" s="21">
        <f t="shared" si="19"/>
        <v>0</v>
      </c>
    </row>
    <row r="103" spans="1:39" x14ac:dyDescent="0.25">
      <c r="A103" s="18"/>
      <c r="B103" s="56"/>
      <c r="C103" s="2"/>
      <c r="D103" s="19"/>
      <c r="E103" s="19"/>
      <c r="F103" s="21">
        <f t="shared" si="2"/>
        <v>0</v>
      </c>
      <c r="G103" s="21">
        <f t="shared" si="3"/>
        <v>0</v>
      </c>
      <c r="H103" s="21">
        <f t="shared" si="4"/>
        <v>0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21">
        <f t="shared" si="18"/>
        <v>0</v>
      </c>
      <c r="AM103" s="21">
        <f t="shared" si="19"/>
        <v>0</v>
      </c>
    </row>
    <row r="104" spans="1:39" x14ac:dyDescent="0.25">
      <c r="A104" s="18"/>
      <c r="B104" s="56"/>
      <c r="C104" s="2"/>
      <c r="D104" s="19"/>
      <c r="E104" s="19"/>
      <c r="F104" s="21">
        <f t="shared" si="2"/>
        <v>0</v>
      </c>
      <c r="G104" s="21">
        <f t="shared" si="3"/>
        <v>0</v>
      </c>
      <c r="H104" s="21">
        <f t="shared" si="4"/>
        <v>0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21">
        <f t="shared" si="18"/>
        <v>0</v>
      </c>
      <c r="AM104" s="21">
        <f t="shared" si="19"/>
        <v>0</v>
      </c>
    </row>
    <row r="105" spans="1:39" x14ac:dyDescent="0.25">
      <c r="A105" s="18"/>
      <c r="B105" s="56"/>
      <c r="C105" s="2"/>
      <c r="D105" s="19"/>
      <c r="E105" s="19"/>
      <c r="F105" s="21">
        <f t="shared" si="2"/>
        <v>0</v>
      </c>
      <c r="G105" s="21">
        <f t="shared" si="3"/>
        <v>0</v>
      </c>
      <c r="H105" s="21">
        <f t="shared" si="4"/>
        <v>0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21">
        <f t="shared" si="18"/>
        <v>0</v>
      </c>
      <c r="AM105" s="21">
        <f t="shared" si="19"/>
        <v>0</v>
      </c>
    </row>
    <row r="106" spans="1:39" x14ac:dyDescent="0.25">
      <c r="A106" s="18"/>
      <c r="B106" s="56"/>
      <c r="C106" s="2"/>
      <c r="D106" s="19"/>
      <c r="E106" s="19"/>
      <c r="F106" s="21">
        <f t="shared" si="2"/>
        <v>0</v>
      </c>
      <c r="G106" s="21">
        <f t="shared" si="3"/>
        <v>0</v>
      </c>
      <c r="H106" s="21">
        <f t="shared" si="4"/>
        <v>0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21">
        <f t="shared" si="18"/>
        <v>0</v>
      </c>
      <c r="AM106" s="21">
        <f t="shared" si="19"/>
        <v>0</v>
      </c>
    </row>
    <row r="107" spans="1:39" x14ac:dyDescent="0.25">
      <c r="A107" s="18"/>
      <c r="B107" s="56"/>
      <c r="C107" s="2"/>
      <c r="D107" s="19"/>
      <c r="E107" s="19"/>
      <c r="F107" s="21">
        <f t="shared" si="2"/>
        <v>0</v>
      </c>
      <c r="G107" s="21">
        <f t="shared" si="3"/>
        <v>0</v>
      </c>
      <c r="H107" s="21">
        <f t="shared" si="4"/>
        <v>0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21">
        <f t="shared" si="18"/>
        <v>0</v>
      </c>
      <c r="AM107" s="21">
        <f t="shared" si="19"/>
        <v>0</v>
      </c>
    </row>
    <row r="108" spans="1:39" ht="15.75" thickBot="1" x14ac:dyDescent="0.3">
      <c r="A108" s="18"/>
      <c r="B108" s="56"/>
      <c r="C108" s="2"/>
      <c r="D108" s="19"/>
      <c r="E108" s="19"/>
      <c r="F108" s="21">
        <f t="shared" si="2"/>
        <v>0</v>
      </c>
      <c r="G108" s="21">
        <f t="shared" si="3"/>
        <v>0</v>
      </c>
      <c r="H108" s="21">
        <f t="shared" si="4"/>
        <v>0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21">
        <f t="shared" si="18"/>
        <v>0</v>
      </c>
      <c r="AM108" s="21">
        <f t="shared" si="19"/>
        <v>0</v>
      </c>
    </row>
    <row r="109" spans="1:39" s="48" customFormat="1" ht="19.5" thickBot="1" x14ac:dyDescent="0.35">
      <c r="A109" s="67" t="s">
        <v>25</v>
      </c>
      <c r="B109" s="68"/>
      <c r="C109" s="69"/>
      <c r="D109" s="46">
        <f>SUM(D75:D108)</f>
        <v>0</v>
      </c>
      <c r="E109" s="46">
        <f t="shared" ref="E109:I109" si="20">SUM(E75:E108)</f>
        <v>0</v>
      </c>
      <c r="F109" s="46">
        <f t="shared" si="20"/>
        <v>0</v>
      </c>
      <c r="G109" s="46">
        <f t="shared" si="20"/>
        <v>0</v>
      </c>
      <c r="H109" s="46">
        <f t="shared" si="20"/>
        <v>0</v>
      </c>
      <c r="I109" s="46">
        <f t="shared" si="20"/>
        <v>0</v>
      </c>
      <c r="J109" s="46"/>
      <c r="K109" s="46"/>
      <c r="L109" s="46"/>
      <c r="M109" s="46">
        <f t="shared" ref="M109" si="21">SUM(M75:M108)</f>
        <v>0</v>
      </c>
      <c r="N109" s="46"/>
      <c r="O109" s="46"/>
      <c r="P109" s="46"/>
      <c r="Q109" s="46">
        <f t="shared" ref="Q109" si="22">SUM(Q75:Q108)</f>
        <v>0</v>
      </c>
      <c r="R109" s="46"/>
      <c r="S109" s="46"/>
      <c r="T109" s="46"/>
      <c r="U109" s="46">
        <f t="shared" ref="U109" si="23">SUM(U75:U108)</f>
        <v>0</v>
      </c>
      <c r="V109" s="46"/>
      <c r="W109" s="46"/>
      <c r="X109" s="46"/>
      <c r="Y109" s="46">
        <f t="shared" ref="Y109" si="24">SUM(Y75:Y108)</f>
        <v>0</v>
      </c>
      <c r="Z109" s="46"/>
      <c r="AA109" s="46"/>
      <c r="AB109" s="46"/>
      <c r="AC109" s="46">
        <f t="shared" ref="AC109" si="25">SUM(AC75:AC108)</f>
        <v>0</v>
      </c>
      <c r="AD109" s="46"/>
      <c r="AE109" s="46"/>
      <c r="AF109" s="46"/>
      <c r="AG109" s="46">
        <f t="shared" ref="AG109" si="26">SUM(AG75:AG108)</f>
        <v>0</v>
      </c>
      <c r="AH109" s="46"/>
      <c r="AI109" s="46"/>
      <c r="AJ109" s="46"/>
      <c r="AK109" s="46">
        <f t="shared" ref="AK109:AL109" si="27">SUM(AK75:AK108)</f>
        <v>0</v>
      </c>
      <c r="AL109" s="46">
        <f t="shared" si="27"/>
        <v>0</v>
      </c>
      <c r="AM109" s="47">
        <f>SUM(AM5:AM108)</f>
        <v>-0.75</v>
      </c>
    </row>
    <row r="111" spans="1:39" x14ac:dyDescent="0.25">
      <c r="E111" s="20">
        <f>+E38+E74+E109</f>
        <v>48584.97</v>
      </c>
      <c r="AK111" s="20">
        <f>+AK38+AK74+AK109</f>
        <v>18206.25</v>
      </c>
    </row>
  </sheetData>
  <autoFilter ref="A3:AQ109" xr:uid="{08F9405C-F6EF-4D0E-8A17-A24AD8A4169C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5">
    <mergeCell ref="A1:AL1"/>
    <mergeCell ref="M3:AK3"/>
    <mergeCell ref="A38:C38"/>
    <mergeCell ref="A74:C74"/>
    <mergeCell ref="A109:C10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5AB5-866D-4314-A9CA-5EF92E942648}">
  <sheetPr>
    <tabColor theme="6" tint="0.39997558519241921"/>
  </sheetPr>
  <dimension ref="A1:E19"/>
  <sheetViews>
    <sheetView workbookViewId="0">
      <selection activeCell="G11" sqref="G11"/>
    </sheetView>
  </sheetViews>
  <sheetFormatPr baseColWidth="10" defaultRowHeight="15" x14ac:dyDescent="0.25"/>
  <cols>
    <col min="2" max="2" width="43.85546875" customWidth="1"/>
  </cols>
  <sheetData>
    <row r="1" spans="1:5" x14ac:dyDescent="0.25">
      <c r="B1" t="s">
        <v>14</v>
      </c>
    </row>
    <row r="3" spans="1:5" ht="15.75" thickBot="1" x14ac:dyDescent="0.3"/>
    <row r="4" spans="1:5" ht="21.75" thickBot="1" x14ac:dyDescent="0.4">
      <c r="A4" s="7" t="s">
        <v>0</v>
      </c>
      <c r="B4" s="8" t="s">
        <v>24</v>
      </c>
      <c r="C4" s="8" t="s">
        <v>26</v>
      </c>
      <c r="D4" s="8" t="s">
        <v>27</v>
      </c>
      <c r="E4" s="9" t="s">
        <v>28</v>
      </c>
    </row>
    <row r="5" spans="1:5" x14ac:dyDescent="0.25">
      <c r="A5" s="25"/>
      <c r="B5" s="10"/>
      <c r="C5" s="26"/>
      <c r="D5" s="26"/>
      <c r="E5" s="26">
        <f>D5</f>
        <v>0</v>
      </c>
    </row>
    <row r="6" spans="1:5" x14ac:dyDescent="0.25">
      <c r="A6" s="13"/>
      <c r="B6" s="2"/>
      <c r="C6" s="19"/>
      <c r="D6" s="19"/>
      <c r="E6" s="19">
        <f>+E5-C6+D6</f>
        <v>0</v>
      </c>
    </row>
    <row r="7" spans="1:5" x14ac:dyDescent="0.25">
      <c r="A7" s="13"/>
      <c r="B7" s="2"/>
      <c r="C7" s="19"/>
      <c r="D7" s="19"/>
      <c r="E7" s="19">
        <f t="shared" ref="E7:E19" si="0">+E6-C7+D7</f>
        <v>0</v>
      </c>
    </row>
    <row r="8" spans="1:5" x14ac:dyDescent="0.25">
      <c r="A8" s="13"/>
      <c r="B8" s="2"/>
      <c r="C8" s="19"/>
      <c r="D8" s="19"/>
      <c r="E8" s="19">
        <f t="shared" si="0"/>
        <v>0</v>
      </c>
    </row>
    <row r="9" spans="1:5" x14ac:dyDescent="0.25">
      <c r="A9" s="13"/>
      <c r="B9" s="2"/>
      <c r="C9" s="19"/>
      <c r="D9" s="19"/>
      <c r="E9" s="19">
        <f t="shared" si="0"/>
        <v>0</v>
      </c>
    </row>
    <row r="10" spans="1:5" x14ac:dyDescent="0.25">
      <c r="A10" s="13"/>
      <c r="B10" s="2"/>
      <c r="C10" s="19"/>
      <c r="D10" s="19"/>
      <c r="E10" s="19">
        <f t="shared" si="0"/>
        <v>0</v>
      </c>
    </row>
    <row r="11" spans="1:5" x14ac:dyDescent="0.25">
      <c r="A11" s="13"/>
      <c r="B11" s="2"/>
      <c r="C11" s="19"/>
      <c r="D11" s="19"/>
      <c r="E11" s="19">
        <f t="shared" si="0"/>
        <v>0</v>
      </c>
    </row>
    <row r="12" spans="1:5" x14ac:dyDescent="0.25">
      <c r="A12" s="2"/>
      <c r="B12" s="2"/>
      <c r="C12" s="19"/>
      <c r="D12" s="19"/>
      <c r="E12" s="19">
        <f t="shared" si="0"/>
        <v>0</v>
      </c>
    </row>
    <row r="13" spans="1:5" x14ac:dyDescent="0.25">
      <c r="A13" s="2"/>
      <c r="B13" s="2"/>
      <c r="C13" s="19"/>
      <c r="D13" s="19"/>
      <c r="E13" s="19">
        <f t="shared" si="0"/>
        <v>0</v>
      </c>
    </row>
    <row r="14" spans="1:5" x14ac:dyDescent="0.25">
      <c r="A14" s="2"/>
      <c r="B14" s="2"/>
      <c r="C14" s="19"/>
      <c r="D14" s="19"/>
      <c r="E14" s="19">
        <f t="shared" si="0"/>
        <v>0</v>
      </c>
    </row>
    <row r="15" spans="1:5" x14ac:dyDescent="0.25">
      <c r="A15" s="2"/>
      <c r="B15" s="2"/>
      <c r="C15" s="19"/>
      <c r="D15" s="19"/>
      <c r="E15" s="19">
        <f t="shared" si="0"/>
        <v>0</v>
      </c>
    </row>
    <row r="16" spans="1:5" x14ac:dyDescent="0.25">
      <c r="A16" s="2"/>
      <c r="B16" s="2"/>
      <c r="C16" s="19"/>
      <c r="D16" s="19"/>
      <c r="E16" s="19">
        <f t="shared" si="0"/>
        <v>0</v>
      </c>
    </row>
    <row r="17" spans="1:5" x14ac:dyDescent="0.25">
      <c r="A17" s="2"/>
      <c r="B17" s="2"/>
      <c r="C17" s="19"/>
      <c r="D17" s="19"/>
      <c r="E17" s="19">
        <f t="shared" si="0"/>
        <v>0</v>
      </c>
    </row>
    <row r="18" spans="1:5" x14ac:dyDescent="0.25">
      <c r="A18" s="2"/>
      <c r="B18" s="2"/>
      <c r="C18" s="19"/>
      <c r="D18" s="19"/>
      <c r="E18" s="19">
        <f t="shared" si="0"/>
        <v>0</v>
      </c>
    </row>
    <row r="19" spans="1:5" x14ac:dyDescent="0.25">
      <c r="A19" s="2"/>
      <c r="B19" s="2"/>
      <c r="C19" s="19"/>
      <c r="D19" s="19"/>
      <c r="E19" s="19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D31D-7B35-4F79-8008-D6ECD5207923}">
  <sheetPr>
    <tabColor theme="6" tint="0.39997558519241921"/>
  </sheetPr>
  <dimension ref="A1"/>
  <sheetViews>
    <sheetView workbookViewId="0">
      <selection activeCell="I19" sqref="I19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0F28-36A2-4D09-B13D-839310509796}">
  <sheetPr>
    <tabColor theme="3" tint="0.249977111117893"/>
  </sheetPr>
  <dimension ref="A1:AQ98"/>
  <sheetViews>
    <sheetView showGridLines="0" tabSelected="1" zoomScale="87" zoomScaleNormal="87" workbookViewId="0">
      <pane ySplit="4" topLeftCell="A15" activePane="bottomLeft" state="frozen"/>
      <selection pane="bottomLeft" activeCell="L25" sqref="L25"/>
    </sheetView>
  </sheetViews>
  <sheetFormatPr baseColWidth="10" defaultRowHeight="15" x14ac:dyDescent="0.25"/>
  <cols>
    <col min="1" max="1" width="11.140625" style="14" bestFit="1" customWidth="1"/>
    <col min="2" max="2" width="11.140625" customWidth="1"/>
    <col min="3" max="3" width="12" bestFit="1" customWidth="1"/>
    <col min="4" max="5" width="14.42578125" style="20" bestFit="1" customWidth="1"/>
    <col min="6" max="6" width="15.85546875" style="20" bestFit="1" customWidth="1"/>
    <col min="7" max="7" width="19.7109375" style="20" hidden="1" customWidth="1"/>
    <col min="8" max="8" width="18.42578125" style="20" hidden="1" customWidth="1"/>
    <col min="9" max="9" width="14.28515625" style="20" bestFit="1" customWidth="1"/>
    <col min="10" max="10" width="3.140625" style="20" customWidth="1"/>
    <col min="11" max="11" width="2.5703125" style="20" customWidth="1"/>
    <col min="12" max="12" width="2.140625" style="20" bestFit="1" customWidth="1"/>
    <col min="13" max="13" width="14.28515625" style="20" bestFit="1" customWidth="1"/>
    <col min="14" max="14" width="2.140625" style="20" bestFit="1" customWidth="1"/>
    <col min="15" max="15" width="2.5703125" style="20" bestFit="1" customWidth="1"/>
    <col min="16" max="16" width="2.140625" style="20" bestFit="1" customWidth="1"/>
    <col min="17" max="17" width="14.28515625" style="20" bestFit="1" customWidth="1"/>
    <col min="18" max="18" width="2.140625" style="20" bestFit="1" customWidth="1"/>
    <col min="19" max="19" width="2.5703125" style="20" bestFit="1" customWidth="1"/>
    <col min="20" max="20" width="2.140625" style="20" bestFit="1" customWidth="1"/>
    <col min="21" max="21" width="14.28515625" style="20" bestFit="1" customWidth="1"/>
    <col min="22" max="22" width="2.140625" style="20" bestFit="1" customWidth="1"/>
    <col min="23" max="23" width="2.5703125" style="20" bestFit="1" customWidth="1"/>
    <col min="24" max="24" width="2.140625" style="20" bestFit="1" customWidth="1"/>
    <col min="25" max="25" width="14.28515625" style="20" bestFit="1" customWidth="1"/>
    <col min="26" max="28" width="2.140625" style="20" customWidth="1"/>
    <col min="29" max="29" width="14.28515625" style="20" bestFit="1" customWidth="1"/>
    <col min="30" max="32" width="2.140625" style="20" customWidth="1"/>
    <col min="33" max="33" width="14.28515625" style="20" bestFit="1" customWidth="1"/>
    <col min="34" max="36" width="2.140625" style="20" customWidth="1"/>
    <col min="37" max="37" width="14.85546875" style="20" bestFit="1" customWidth="1"/>
    <col min="38" max="38" width="14.5703125" style="20" bestFit="1" customWidth="1"/>
    <col min="39" max="39" width="10" style="20" customWidth="1"/>
  </cols>
  <sheetData>
    <row r="1" spans="1:43" ht="22.5" thickTop="1" thickBot="1" x14ac:dyDescent="0.4">
      <c r="A1" s="62" t="s">
        <v>15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4"/>
    </row>
    <row r="2" spans="1:43" ht="16.5" thickTop="1" thickBot="1" x14ac:dyDescent="0.3"/>
    <row r="3" spans="1:43" s="1" customFormat="1" ht="15.75" thickTop="1" x14ac:dyDescent="0.25">
      <c r="A3" s="15"/>
      <c r="B3" s="11"/>
      <c r="C3" s="5"/>
      <c r="D3" s="27"/>
      <c r="E3" s="27" t="s">
        <v>2</v>
      </c>
      <c r="F3" s="27"/>
      <c r="G3" s="28" t="s">
        <v>4</v>
      </c>
      <c r="H3" s="29" t="s">
        <v>32</v>
      </c>
      <c r="I3" s="30"/>
      <c r="J3" s="31"/>
      <c r="K3" s="31"/>
      <c r="L3" s="31"/>
      <c r="M3" s="65" t="s">
        <v>12</v>
      </c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6"/>
      <c r="AL3" s="32"/>
      <c r="AM3" s="33"/>
    </row>
    <row r="4" spans="1:43" s="1" customFormat="1" ht="26.25" customHeight="1" thickBot="1" x14ac:dyDescent="0.3">
      <c r="A4" s="16" t="s">
        <v>0</v>
      </c>
      <c r="B4" s="12" t="s">
        <v>37</v>
      </c>
      <c r="C4" s="6" t="s">
        <v>1</v>
      </c>
      <c r="D4" s="34" t="s">
        <v>2</v>
      </c>
      <c r="E4" s="34" t="s">
        <v>3</v>
      </c>
      <c r="F4" s="34" t="s">
        <v>5</v>
      </c>
      <c r="G4" s="35" t="s">
        <v>6</v>
      </c>
      <c r="H4" s="36" t="s">
        <v>33</v>
      </c>
      <c r="I4" s="37" t="s">
        <v>7</v>
      </c>
      <c r="J4" s="38" t="s">
        <v>16</v>
      </c>
      <c r="K4" s="38" t="s">
        <v>17</v>
      </c>
      <c r="L4" s="38" t="s">
        <v>18</v>
      </c>
      <c r="M4" s="39" t="s">
        <v>8</v>
      </c>
      <c r="N4" s="38" t="s">
        <v>16</v>
      </c>
      <c r="O4" s="38" t="s">
        <v>17</v>
      </c>
      <c r="P4" s="38" t="s">
        <v>18</v>
      </c>
      <c r="Q4" s="39" t="s">
        <v>9</v>
      </c>
      <c r="R4" s="38" t="s">
        <v>16</v>
      </c>
      <c r="S4" s="38" t="s">
        <v>17</v>
      </c>
      <c r="T4" s="38" t="s">
        <v>18</v>
      </c>
      <c r="U4" s="39" t="s">
        <v>10</v>
      </c>
      <c r="V4" s="38" t="s">
        <v>16</v>
      </c>
      <c r="W4" s="38" t="s">
        <v>17</v>
      </c>
      <c r="X4" s="38" t="s">
        <v>18</v>
      </c>
      <c r="Y4" s="39" t="s">
        <v>19</v>
      </c>
      <c r="Z4" s="38" t="s">
        <v>16</v>
      </c>
      <c r="AA4" s="38" t="s">
        <v>17</v>
      </c>
      <c r="AB4" s="38" t="s">
        <v>18</v>
      </c>
      <c r="AC4" s="39" t="s">
        <v>19</v>
      </c>
      <c r="AD4" s="38" t="s">
        <v>16</v>
      </c>
      <c r="AE4" s="38" t="s">
        <v>17</v>
      </c>
      <c r="AF4" s="38" t="s">
        <v>18</v>
      </c>
      <c r="AG4" s="39" t="s">
        <v>19</v>
      </c>
      <c r="AH4" s="38" t="s">
        <v>16</v>
      </c>
      <c r="AI4" s="38" t="s">
        <v>17</v>
      </c>
      <c r="AJ4" s="38" t="s">
        <v>18</v>
      </c>
      <c r="AK4" s="40" t="s">
        <v>11</v>
      </c>
      <c r="AL4" s="41" t="s">
        <v>13</v>
      </c>
      <c r="AM4" s="42" t="s">
        <v>5</v>
      </c>
    </row>
    <row r="5" spans="1:43" ht="15.75" thickTop="1" x14ac:dyDescent="0.25">
      <c r="A5" s="17">
        <v>46219</v>
      </c>
      <c r="B5" s="3" t="s">
        <v>69</v>
      </c>
      <c r="C5" s="3" t="s">
        <v>70</v>
      </c>
      <c r="D5" s="21">
        <v>1500</v>
      </c>
      <c r="E5" s="21">
        <v>1500</v>
      </c>
      <c r="F5" s="21">
        <f>+E5-D5</f>
        <v>0</v>
      </c>
      <c r="G5" s="21">
        <f>+D5*0.15</f>
        <v>225</v>
      </c>
      <c r="H5" s="21">
        <f>+D5+G5</f>
        <v>1725</v>
      </c>
      <c r="I5" s="43">
        <v>0</v>
      </c>
      <c r="J5" s="21" t="s">
        <v>34</v>
      </c>
      <c r="K5" s="21"/>
      <c r="L5" s="21"/>
      <c r="M5" s="21">
        <v>0</v>
      </c>
      <c r="N5" s="21"/>
      <c r="O5" s="21" t="s">
        <v>34</v>
      </c>
      <c r="P5" s="21"/>
      <c r="Q5" s="21">
        <v>0</v>
      </c>
      <c r="R5" s="21"/>
      <c r="S5" s="21"/>
      <c r="T5" s="21" t="s">
        <v>34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>
        <v>1500</v>
      </c>
      <c r="AL5" s="21">
        <f>SUM(I5:AK5)</f>
        <v>1500</v>
      </c>
      <c r="AM5" s="21">
        <f t="shared" ref="AM5:AM24" si="0">+AL5-E5</f>
        <v>0</v>
      </c>
      <c r="AN5" t="s">
        <v>14</v>
      </c>
      <c r="AO5" t="s">
        <v>14</v>
      </c>
      <c r="AP5" t="s">
        <v>14</v>
      </c>
      <c r="AQ5" t="s">
        <v>14</v>
      </c>
    </row>
    <row r="6" spans="1:43" x14ac:dyDescent="0.25">
      <c r="A6" s="17">
        <v>46219</v>
      </c>
      <c r="B6" s="3" t="s">
        <v>71</v>
      </c>
      <c r="C6" s="3" t="s">
        <v>72</v>
      </c>
      <c r="D6" s="21">
        <v>110</v>
      </c>
      <c r="E6" s="21">
        <v>126.5</v>
      </c>
      <c r="F6" s="21">
        <f>+E6-D6</f>
        <v>16.5</v>
      </c>
      <c r="G6" s="21"/>
      <c r="H6" s="21"/>
      <c r="I6" s="43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>
        <v>126.5</v>
      </c>
      <c r="AL6" s="21">
        <f t="shared" ref="AL6:AL24" si="1">SUM(I6:AK6)</f>
        <v>126.5</v>
      </c>
      <c r="AM6" s="21">
        <f t="shared" si="0"/>
        <v>0</v>
      </c>
    </row>
    <row r="7" spans="1:43" x14ac:dyDescent="0.25">
      <c r="A7" s="17">
        <v>46219</v>
      </c>
      <c r="B7" s="3" t="s">
        <v>38</v>
      </c>
      <c r="C7" s="3" t="s">
        <v>39</v>
      </c>
      <c r="D7" s="21">
        <v>979</v>
      </c>
      <c r="E7" s="21">
        <v>1125.8499999999999</v>
      </c>
      <c r="F7" s="21">
        <f>+E7-D7</f>
        <v>146.84999999999991</v>
      </c>
      <c r="G7" s="21">
        <f>+D7*0.15</f>
        <v>146.85</v>
      </c>
      <c r="H7" s="21">
        <f>+D7+G7</f>
        <v>1125.8499999999999</v>
      </c>
      <c r="I7" s="49">
        <v>1125.8499999999999</v>
      </c>
      <c r="J7" s="49" t="s">
        <v>34</v>
      </c>
      <c r="K7" s="49"/>
      <c r="L7" s="49"/>
      <c r="M7" s="49">
        <v>0</v>
      </c>
      <c r="N7" s="21"/>
      <c r="O7" s="21" t="s">
        <v>34</v>
      </c>
      <c r="P7" s="21"/>
      <c r="Q7" s="21">
        <v>0</v>
      </c>
      <c r="R7" s="21"/>
      <c r="S7" s="21"/>
      <c r="T7" s="21" t="s">
        <v>34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>
        <v>0</v>
      </c>
      <c r="AL7" s="21">
        <f t="shared" si="1"/>
        <v>1125.8499999999999</v>
      </c>
      <c r="AM7" s="21">
        <f t="shared" si="0"/>
        <v>0</v>
      </c>
      <c r="AN7" t="s">
        <v>14</v>
      </c>
      <c r="AO7" t="s">
        <v>14</v>
      </c>
      <c r="AP7" t="s">
        <v>14</v>
      </c>
      <c r="AQ7" t="s">
        <v>14</v>
      </c>
    </row>
    <row r="8" spans="1:43" x14ac:dyDescent="0.25">
      <c r="A8" s="18">
        <v>46220</v>
      </c>
      <c r="B8" s="2" t="s">
        <v>40</v>
      </c>
      <c r="C8" s="2" t="s">
        <v>41</v>
      </c>
      <c r="D8" s="19">
        <v>200</v>
      </c>
      <c r="E8" s="19">
        <v>230</v>
      </c>
      <c r="F8" s="21">
        <f t="shared" ref="F8:F95" si="2">+E8-D8</f>
        <v>30</v>
      </c>
      <c r="G8" s="21">
        <f t="shared" ref="G8:G95" si="3">+D8*0.15</f>
        <v>30</v>
      </c>
      <c r="H8" s="21">
        <f t="shared" ref="H8:H95" si="4">+D8+G8</f>
        <v>230</v>
      </c>
      <c r="I8" s="50">
        <v>230</v>
      </c>
      <c r="J8" s="50"/>
      <c r="K8" s="50" t="s">
        <v>34</v>
      </c>
      <c r="L8" s="50"/>
      <c r="M8" s="5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1">
        <f t="shared" si="1"/>
        <v>230</v>
      </c>
      <c r="AM8" s="21">
        <f t="shared" si="0"/>
        <v>0</v>
      </c>
    </row>
    <row r="9" spans="1:43" x14ac:dyDescent="0.25">
      <c r="A9" s="18">
        <v>46220</v>
      </c>
      <c r="B9" s="2" t="s">
        <v>40</v>
      </c>
      <c r="C9" s="2" t="s">
        <v>73</v>
      </c>
      <c r="D9" s="19">
        <v>6000</v>
      </c>
      <c r="E9" s="19">
        <v>6900</v>
      </c>
      <c r="F9" s="21">
        <f t="shared" si="2"/>
        <v>900</v>
      </c>
      <c r="G9" s="21"/>
      <c r="H9" s="21"/>
      <c r="I9" s="49"/>
      <c r="J9" s="49"/>
      <c r="K9" s="49"/>
      <c r="L9" s="49"/>
      <c r="M9" s="49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>
        <v>6900</v>
      </c>
      <c r="AL9" s="21">
        <f t="shared" si="1"/>
        <v>6900</v>
      </c>
      <c r="AM9" s="21">
        <f t="shared" si="0"/>
        <v>0</v>
      </c>
    </row>
    <row r="10" spans="1:43" x14ac:dyDescent="0.25">
      <c r="A10" s="18">
        <v>46220</v>
      </c>
      <c r="B10" s="2" t="s">
        <v>74</v>
      </c>
      <c r="C10" s="2" t="s">
        <v>75</v>
      </c>
      <c r="D10" s="19">
        <v>710</v>
      </c>
      <c r="E10" s="19">
        <v>816.5</v>
      </c>
      <c r="F10" s="21">
        <f t="shared" ref="F10" si="5">+E10-D10</f>
        <v>106.5</v>
      </c>
      <c r="G10" s="21"/>
      <c r="H10" s="21"/>
      <c r="I10" s="49"/>
      <c r="J10" s="49"/>
      <c r="K10" s="49"/>
      <c r="L10" s="49"/>
      <c r="M10" s="49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>
        <v>816.5</v>
      </c>
      <c r="AL10" s="21">
        <f t="shared" si="1"/>
        <v>816.5</v>
      </c>
      <c r="AM10" s="21">
        <f t="shared" si="0"/>
        <v>0</v>
      </c>
    </row>
    <row r="11" spans="1:43" x14ac:dyDescent="0.25">
      <c r="A11" s="18">
        <v>46220</v>
      </c>
      <c r="B11" s="2" t="s">
        <v>76</v>
      </c>
      <c r="C11" s="2" t="s">
        <v>77</v>
      </c>
      <c r="D11" s="19">
        <v>1280</v>
      </c>
      <c r="E11" s="19">
        <v>1472</v>
      </c>
      <c r="F11" s="21">
        <f t="shared" ref="F11" si="6">+E11-D11</f>
        <v>192</v>
      </c>
      <c r="G11" s="21"/>
      <c r="H11" s="21"/>
      <c r="I11" s="49"/>
      <c r="J11" s="49"/>
      <c r="K11" s="49"/>
      <c r="L11" s="49"/>
      <c r="M11" s="49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>
        <v>1472</v>
      </c>
      <c r="AL11" s="21">
        <f t="shared" si="1"/>
        <v>1472</v>
      </c>
      <c r="AM11" s="21">
        <f t="shared" si="0"/>
        <v>0</v>
      </c>
    </row>
    <row r="12" spans="1:43" x14ac:dyDescent="0.25">
      <c r="A12" s="18">
        <v>46220</v>
      </c>
      <c r="B12" s="2" t="s">
        <v>78</v>
      </c>
      <c r="C12" s="2" t="s">
        <v>79</v>
      </c>
      <c r="D12" s="19">
        <v>500</v>
      </c>
      <c r="E12" s="19">
        <v>575</v>
      </c>
      <c r="F12" s="21">
        <f t="shared" ref="F12" si="7">+E12-D12</f>
        <v>75</v>
      </c>
      <c r="G12" s="21"/>
      <c r="H12" s="21"/>
      <c r="I12" s="49"/>
      <c r="J12" s="49"/>
      <c r="K12" s="49"/>
      <c r="L12" s="49"/>
      <c r="M12" s="49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>
        <v>575</v>
      </c>
      <c r="AL12" s="21">
        <f t="shared" si="1"/>
        <v>575</v>
      </c>
      <c r="AM12" s="21">
        <f t="shared" si="0"/>
        <v>0</v>
      </c>
    </row>
    <row r="13" spans="1:43" x14ac:dyDescent="0.25">
      <c r="A13" s="18">
        <v>46220</v>
      </c>
      <c r="B13" s="2" t="s">
        <v>42</v>
      </c>
      <c r="C13" s="2" t="s">
        <v>43</v>
      </c>
      <c r="D13" s="19">
        <v>3860</v>
      </c>
      <c r="E13" s="19">
        <f>1479.67+1000+1960</f>
        <v>4439.67</v>
      </c>
      <c r="F13" s="21">
        <f t="shared" si="2"/>
        <v>579.67000000000007</v>
      </c>
      <c r="G13" s="21">
        <f t="shared" si="3"/>
        <v>579</v>
      </c>
      <c r="H13" s="21">
        <f t="shared" si="4"/>
        <v>4439</v>
      </c>
      <c r="I13" s="50">
        <v>1479.67</v>
      </c>
      <c r="J13" s="50" t="s">
        <v>34</v>
      </c>
      <c r="K13" s="50"/>
      <c r="L13" s="50"/>
      <c r="M13" s="50">
        <v>1000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>
        <v>1960</v>
      </c>
      <c r="AL13" s="21">
        <f t="shared" si="1"/>
        <v>4439.67</v>
      </c>
      <c r="AM13" s="21">
        <f t="shared" si="0"/>
        <v>0</v>
      </c>
    </row>
    <row r="14" spans="1:43" x14ac:dyDescent="0.25">
      <c r="A14" s="18">
        <v>46220</v>
      </c>
      <c r="B14" s="2" t="s">
        <v>80</v>
      </c>
      <c r="C14" s="2" t="s">
        <v>81</v>
      </c>
      <c r="D14" s="19">
        <v>2200</v>
      </c>
      <c r="E14" s="19">
        <v>2200</v>
      </c>
      <c r="F14" s="21">
        <f t="shared" si="2"/>
        <v>0</v>
      </c>
      <c r="G14" s="21"/>
      <c r="H14" s="21"/>
      <c r="I14" s="49"/>
      <c r="J14" s="49"/>
      <c r="K14" s="49"/>
      <c r="L14" s="49"/>
      <c r="M14" s="49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>
        <v>2200</v>
      </c>
      <c r="AL14" s="21">
        <f t="shared" si="1"/>
        <v>2200</v>
      </c>
      <c r="AM14" s="21">
        <f t="shared" si="0"/>
        <v>0</v>
      </c>
    </row>
    <row r="15" spans="1:43" x14ac:dyDescent="0.25">
      <c r="A15" s="18">
        <v>46220</v>
      </c>
      <c r="B15" s="2" t="s">
        <v>44</v>
      </c>
      <c r="C15" s="2" t="s">
        <v>45</v>
      </c>
      <c r="D15" s="19">
        <v>2700</v>
      </c>
      <c r="E15" s="19">
        <f>1620+1000+485</f>
        <v>3105</v>
      </c>
      <c r="F15" s="21">
        <f t="shared" si="2"/>
        <v>405</v>
      </c>
      <c r="G15" s="21">
        <f t="shared" si="3"/>
        <v>405</v>
      </c>
      <c r="H15" s="21">
        <f t="shared" si="4"/>
        <v>3105</v>
      </c>
      <c r="I15" s="50">
        <v>1620</v>
      </c>
      <c r="J15" s="50" t="s">
        <v>34</v>
      </c>
      <c r="K15" s="50"/>
      <c r="L15" s="50"/>
      <c r="M15" s="50">
        <v>1000</v>
      </c>
      <c r="N15" s="19"/>
      <c r="O15" s="19" t="s">
        <v>34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>
        <v>485</v>
      </c>
      <c r="AL15" s="21">
        <f t="shared" si="1"/>
        <v>3105</v>
      </c>
      <c r="AM15" s="21">
        <f t="shared" si="0"/>
        <v>0</v>
      </c>
    </row>
    <row r="16" spans="1:43" x14ac:dyDescent="0.25">
      <c r="A16" s="18">
        <v>46220</v>
      </c>
      <c r="B16" s="2" t="s">
        <v>46</v>
      </c>
      <c r="C16" s="2" t="s">
        <v>47</v>
      </c>
      <c r="D16" s="19">
        <v>550</v>
      </c>
      <c r="E16" s="19">
        <v>600</v>
      </c>
      <c r="F16" s="21">
        <f t="shared" si="2"/>
        <v>50</v>
      </c>
      <c r="G16" s="21">
        <f t="shared" si="3"/>
        <v>82.5</v>
      </c>
      <c r="H16" s="21">
        <f t="shared" si="4"/>
        <v>632.5</v>
      </c>
      <c r="I16" s="50">
        <v>600</v>
      </c>
      <c r="J16" s="50" t="s">
        <v>34</v>
      </c>
      <c r="K16" s="50"/>
      <c r="L16" s="50"/>
      <c r="M16" s="50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1">
        <f t="shared" si="1"/>
        <v>600</v>
      </c>
      <c r="AM16" s="21">
        <f t="shared" si="0"/>
        <v>0</v>
      </c>
    </row>
    <row r="17" spans="1:39" x14ac:dyDescent="0.25">
      <c r="A17" s="18">
        <v>46220</v>
      </c>
      <c r="B17" s="2" t="s">
        <v>82</v>
      </c>
      <c r="C17" s="2" t="s">
        <v>83</v>
      </c>
      <c r="D17" s="19">
        <v>1154</v>
      </c>
      <c r="E17" s="19">
        <v>1327.1</v>
      </c>
      <c r="F17" s="21">
        <f t="shared" si="2"/>
        <v>173.09999999999991</v>
      </c>
      <c r="G17" s="21"/>
      <c r="H17" s="21"/>
      <c r="I17" s="49"/>
      <c r="J17" s="49"/>
      <c r="K17" s="49"/>
      <c r="L17" s="49"/>
      <c r="M17" s="49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>
        <v>1327.1</v>
      </c>
      <c r="AL17" s="21">
        <f t="shared" si="1"/>
        <v>1327.1</v>
      </c>
      <c r="AM17" s="21">
        <f t="shared" si="0"/>
        <v>0</v>
      </c>
    </row>
    <row r="18" spans="1:39" x14ac:dyDescent="0.25">
      <c r="A18" s="18">
        <v>46220</v>
      </c>
      <c r="B18" s="2" t="s">
        <v>48</v>
      </c>
      <c r="C18" s="2" t="s">
        <v>49</v>
      </c>
      <c r="D18" s="19">
        <v>710</v>
      </c>
      <c r="E18" s="19">
        <v>897.6</v>
      </c>
      <c r="F18" s="21">
        <f t="shared" si="2"/>
        <v>187.60000000000002</v>
      </c>
      <c r="G18" s="21">
        <f t="shared" si="3"/>
        <v>106.5</v>
      </c>
      <c r="H18" s="21">
        <f t="shared" si="4"/>
        <v>816.5</v>
      </c>
      <c r="I18" s="50">
        <v>897.6</v>
      </c>
      <c r="J18" s="50" t="s">
        <v>34</v>
      </c>
      <c r="K18" s="50"/>
      <c r="L18" s="50"/>
      <c r="M18" s="50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1">
        <f t="shared" si="1"/>
        <v>897.6</v>
      </c>
      <c r="AM18" s="21">
        <f t="shared" si="0"/>
        <v>0</v>
      </c>
    </row>
    <row r="19" spans="1:39" x14ac:dyDescent="0.25">
      <c r="A19" s="18">
        <v>46220</v>
      </c>
      <c r="B19" s="2" t="s">
        <v>84</v>
      </c>
      <c r="C19" s="2" t="s">
        <v>85</v>
      </c>
      <c r="D19" s="19">
        <v>440</v>
      </c>
      <c r="E19" s="19">
        <v>506</v>
      </c>
      <c r="F19" s="21">
        <f t="shared" si="2"/>
        <v>66</v>
      </c>
      <c r="G19" s="21"/>
      <c r="H19" s="21"/>
      <c r="I19" s="50"/>
      <c r="J19" s="50"/>
      <c r="K19" s="50"/>
      <c r="L19" s="50"/>
      <c r="M19" s="50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>
        <v>506</v>
      </c>
      <c r="AL19" s="21">
        <f t="shared" si="1"/>
        <v>506</v>
      </c>
      <c r="AM19" s="21">
        <f t="shared" si="0"/>
        <v>0</v>
      </c>
    </row>
    <row r="20" spans="1:39" x14ac:dyDescent="0.25">
      <c r="A20" s="18">
        <v>46220</v>
      </c>
      <c r="B20" s="2" t="s">
        <v>86</v>
      </c>
      <c r="C20" s="2" t="s">
        <v>87</v>
      </c>
      <c r="D20" s="19">
        <v>7880</v>
      </c>
      <c r="E20" s="19">
        <v>9062</v>
      </c>
      <c r="F20" s="21">
        <f t="shared" ref="F20" si="8">+E20-D20</f>
        <v>1182</v>
      </c>
      <c r="G20" s="21"/>
      <c r="H20" s="21"/>
      <c r="I20" s="49"/>
      <c r="J20" s="49"/>
      <c r="K20" s="49"/>
      <c r="L20" s="49"/>
      <c r="M20" s="49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>
        <v>9062</v>
      </c>
      <c r="AL20" s="21">
        <f t="shared" si="1"/>
        <v>9062</v>
      </c>
      <c r="AM20" s="21">
        <f t="shared" si="0"/>
        <v>0</v>
      </c>
    </row>
    <row r="21" spans="1:39" x14ac:dyDescent="0.25">
      <c r="A21" s="18">
        <v>46220</v>
      </c>
      <c r="B21" s="2" t="s">
        <v>51</v>
      </c>
      <c r="C21" s="2" t="s">
        <v>50</v>
      </c>
      <c r="D21" s="19">
        <v>1240</v>
      </c>
      <c r="E21" s="19">
        <v>1426</v>
      </c>
      <c r="F21" s="21">
        <f t="shared" si="2"/>
        <v>186</v>
      </c>
      <c r="G21" s="21">
        <f t="shared" si="3"/>
        <v>186</v>
      </c>
      <c r="H21" s="21">
        <f t="shared" si="4"/>
        <v>1426</v>
      </c>
      <c r="I21" s="50">
        <v>1426</v>
      </c>
      <c r="J21" s="50"/>
      <c r="K21" s="50"/>
      <c r="L21" s="50"/>
      <c r="M21" s="50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1">
        <f t="shared" si="1"/>
        <v>1426</v>
      </c>
      <c r="AM21" s="21">
        <f t="shared" si="0"/>
        <v>0</v>
      </c>
    </row>
    <row r="22" spans="1:39" x14ac:dyDescent="0.25">
      <c r="A22" s="18">
        <v>46220</v>
      </c>
      <c r="B22" s="2" t="s">
        <v>52</v>
      </c>
      <c r="C22" s="2" t="s">
        <v>53</v>
      </c>
      <c r="D22" s="19">
        <v>220</v>
      </c>
      <c r="E22" s="19">
        <v>253</v>
      </c>
      <c r="F22" s="21">
        <f t="shared" si="2"/>
        <v>33</v>
      </c>
      <c r="G22" s="21">
        <f t="shared" si="3"/>
        <v>33</v>
      </c>
      <c r="H22" s="21">
        <f t="shared" si="4"/>
        <v>253</v>
      </c>
      <c r="I22" s="50">
        <v>253</v>
      </c>
      <c r="J22" s="50" t="s">
        <v>34</v>
      </c>
      <c r="K22" s="50"/>
      <c r="L22" s="50"/>
      <c r="M22" s="50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1">
        <f t="shared" si="1"/>
        <v>253</v>
      </c>
      <c r="AM22" s="21">
        <f t="shared" si="0"/>
        <v>0</v>
      </c>
    </row>
    <row r="23" spans="1:39" x14ac:dyDescent="0.25">
      <c r="A23" s="18">
        <v>46220</v>
      </c>
      <c r="B23" s="2" t="s">
        <v>54</v>
      </c>
      <c r="C23" s="2" t="s">
        <v>55</v>
      </c>
      <c r="D23" s="19">
        <v>80</v>
      </c>
      <c r="E23" s="19">
        <v>120</v>
      </c>
      <c r="F23" s="21">
        <f t="shared" si="2"/>
        <v>40</v>
      </c>
      <c r="G23" s="21">
        <f t="shared" si="3"/>
        <v>12</v>
      </c>
      <c r="H23" s="21">
        <f t="shared" si="4"/>
        <v>92</v>
      </c>
      <c r="I23" s="50">
        <v>120</v>
      </c>
      <c r="J23" s="50" t="s">
        <v>34</v>
      </c>
      <c r="K23" s="50"/>
      <c r="L23" s="50"/>
      <c r="M23" s="50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1">
        <f t="shared" si="1"/>
        <v>120</v>
      </c>
      <c r="AM23" s="21">
        <f t="shared" si="0"/>
        <v>0</v>
      </c>
    </row>
    <row r="24" spans="1:39" ht="15.75" thickBot="1" x14ac:dyDescent="0.3">
      <c r="A24" s="44">
        <v>46220</v>
      </c>
      <c r="B24" s="45" t="s">
        <v>56</v>
      </c>
      <c r="C24" s="45" t="s">
        <v>57</v>
      </c>
      <c r="D24" s="22">
        <v>1415</v>
      </c>
      <c r="E24" s="22">
        <v>1627.25</v>
      </c>
      <c r="F24" s="23">
        <f t="shared" si="2"/>
        <v>212.25</v>
      </c>
      <c r="G24" s="23">
        <f t="shared" si="3"/>
        <v>212.25</v>
      </c>
      <c r="H24" s="23">
        <f t="shared" si="4"/>
        <v>1627.25</v>
      </c>
      <c r="I24" s="51">
        <v>1627.25</v>
      </c>
      <c r="J24" s="51" t="s">
        <v>34</v>
      </c>
      <c r="K24" s="51"/>
      <c r="L24" s="51"/>
      <c r="M24" s="51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1">
        <f t="shared" si="1"/>
        <v>1627.25</v>
      </c>
      <c r="AM24" s="23">
        <f t="shared" si="0"/>
        <v>0</v>
      </c>
    </row>
    <row r="25" spans="1:39" s="48" customFormat="1" ht="19.5" thickBot="1" x14ac:dyDescent="0.35">
      <c r="A25" s="67" t="s">
        <v>110</v>
      </c>
      <c r="B25" s="68"/>
      <c r="C25" s="69"/>
      <c r="D25" s="46">
        <f>SUM(D5:D24)</f>
        <v>33728</v>
      </c>
      <c r="E25" s="46">
        <f>SUM(E5:E24)</f>
        <v>38309.47</v>
      </c>
      <c r="F25" s="46">
        <f>SUM(F5:F24)</f>
        <v>4581.4699999999993</v>
      </c>
      <c r="G25" s="46"/>
      <c r="H25" s="46"/>
      <c r="I25" s="46">
        <f>SUM(I5:I24)</f>
        <v>9379.3700000000008</v>
      </c>
      <c r="J25" s="46"/>
      <c r="K25" s="46"/>
      <c r="L25" s="46"/>
      <c r="M25" s="46">
        <f>SUM(M5:M24)</f>
        <v>2000</v>
      </c>
      <c r="N25" s="46"/>
      <c r="O25" s="46"/>
      <c r="P25" s="46"/>
      <c r="Q25" s="46">
        <f>SUM(Q5:Q24)</f>
        <v>0</v>
      </c>
      <c r="R25" s="46"/>
      <c r="S25" s="46"/>
      <c r="T25" s="46"/>
      <c r="U25" s="46">
        <f>SUM(U5:U24)</f>
        <v>0</v>
      </c>
      <c r="V25" s="46"/>
      <c r="W25" s="46"/>
      <c r="X25" s="46"/>
      <c r="Y25" s="46">
        <f>SUM(Y5:Y24)</f>
        <v>0</v>
      </c>
      <c r="Z25" s="46"/>
      <c r="AA25" s="46"/>
      <c r="AB25" s="46"/>
      <c r="AC25" s="46">
        <f>SUM(AC5:AC24)</f>
        <v>0</v>
      </c>
      <c r="AD25" s="46"/>
      <c r="AE25" s="46"/>
      <c r="AF25" s="46"/>
      <c r="AG25" s="46">
        <f>SUM(AG5:AG24)</f>
        <v>0</v>
      </c>
      <c r="AH25" s="46"/>
      <c r="AI25" s="46"/>
      <c r="AJ25" s="46"/>
      <c r="AK25" s="46">
        <f>SUM(AK5:AK24)</f>
        <v>26930.1</v>
      </c>
      <c r="AL25" s="46">
        <f>SUM(AL5:AL24)</f>
        <v>38309.47</v>
      </c>
      <c r="AM25" s="47"/>
    </row>
    <row r="26" spans="1:39" x14ac:dyDescent="0.25">
      <c r="A26" s="17">
        <v>46220</v>
      </c>
      <c r="B26" s="3" t="s">
        <v>111</v>
      </c>
      <c r="C26" s="3" t="s">
        <v>112</v>
      </c>
      <c r="D26" s="19">
        <v>205</v>
      </c>
      <c r="E26" s="19">
        <v>235.75</v>
      </c>
      <c r="F26" s="21">
        <f t="shared" ref="F26" si="9">+E26-D26</f>
        <v>30.75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>
        <v>235.75</v>
      </c>
      <c r="AL26" s="21">
        <f>SUM(I26:AK26)</f>
        <v>235.75</v>
      </c>
      <c r="AM26" s="21">
        <f>+AL26-E26</f>
        <v>0</v>
      </c>
    </row>
    <row r="27" spans="1:39" x14ac:dyDescent="0.25">
      <c r="A27" s="18">
        <v>46221</v>
      </c>
      <c r="B27" s="2" t="s">
        <v>58</v>
      </c>
      <c r="C27" s="2" t="s">
        <v>59</v>
      </c>
      <c r="D27" s="19">
        <v>2470</v>
      </c>
      <c r="E27" s="19">
        <v>2840.5</v>
      </c>
      <c r="F27" s="21">
        <f t="shared" si="2"/>
        <v>370.5</v>
      </c>
      <c r="G27" s="21">
        <f t="shared" si="3"/>
        <v>370.5</v>
      </c>
      <c r="H27" s="21">
        <f t="shared" si="4"/>
        <v>2840.5</v>
      </c>
      <c r="I27" s="19">
        <v>2840</v>
      </c>
      <c r="J27" s="19"/>
      <c r="K27" s="19" t="s">
        <v>34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1">
        <f t="shared" ref="AL27:AL60" si="10">SUM(I27:AK27)</f>
        <v>2840</v>
      </c>
      <c r="AM27" s="21">
        <f t="shared" ref="AM27:AM60" si="11">+AL27-E27</f>
        <v>-0.5</v>
      </c>
    </row>
    <row r="28" spans="1:39" x14ac:dyDescent="0.25">
      <c r="A28" s="17">
        <v>46221</v>
      </c>
      <c r="B28" s="3" t="s">
        <v>113</v>
      </c>
      <c r="C28" s="3" t="s">
        <v>114</v>
      </c>
      <c r="D28" s="19">
        <v>680</v>
      </c>
      <c r="E28" s="19">
        <v>782</v>
      </c>
      <c r="F28" s="21">
        <f t="shared" si="2"/>
        <v>102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>
        <v>782</v>
      </c>
      <c r="AL28" s="21">
        <f t="shared" si="10"/>
        <v>782</v>
      </c>
      <c r="AM28" s="21">
        <f t="shared" si="11"/>
        <v>0</v>
      </c>
    </row>
    <row r="29" spans="1:39" x14ac:dyDescent="0.25">
      <c r="A29" s="18">
        <v>46221</v>
      </c>
      <c r="B29" s="2" t="s">
        <v>60</v>
      </c>
      <c r="C29" s="2" t="s">
        <v>61</v>
      </c>
      <c r="D29" s="19">
        <v>2700</v>
      </c>
      <c r="E29" s="19">
        <v>3105</v>
      </c>
      <c r="F29" s="21">
        <f t="shared" si="2"/>
        <v>405</v>
      </c>
      <c r="G29" s="21">
        <f t="shared" si="3"/>
        <v>405</v>
      </c>
      <c r="H29" s="21">
        <f t="shared" si="4"/>
        <v>3105</v>
      </c>
      <c r="I29" s="19">
        <v>3105</v>
      </c>
      <c r="J29" s="19"/>
      <c r="K29" s="19" t="s">
        <v>34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1">
        <f t="shared" si="10"/>
        <v>3105</v>
      </c>
      <c r="AM29" s="21">
        <f t="shared" si="11"/>
        <v>0</v>
      </c>
    </row>
    <row r="30" spans="1:39" x14ac:dyDescent="0.25">
      <c r="A30" s="18">
        <v>46221</v>
      </c>
      <c r="B30" s="2" t="s">
        <v>62</v>
      </c>
      <c r="C30" s="2" t="s">
        <v>63</v>
      </c>
      <c r="D30" s="19">
        <v>2320</v>
      </c>
      <c r="E30" s="19">
        <v>2784</v>
      </c>
      <c r="F30" s="21">
        <f t="shared" si="2"/>
        <v>464</v>
      </c>
      <c r="G30" s="21">
        <f t="shared" si="3"/>
        <v>348</v>
      </c>
      <c r="H30" s="21">
        <f t="shared" si="4"/>
        <v>2668</v>
      </c>
      <c r="I30" s="19">
        <v>2784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1">
        <f t="shared" si="10"/>
        <v>2784</v>
      </c>
      <c r="AM30" s="21">
        <f t="shared" si="11"/>
        <v>0</v>
      </c>
    </row>
    <row r="31" spans="1:39" x14ac:dyDescent="0.25">
      <c r="A31" s="17">
        <v>46221</v>
      </c>
      <c r="B31" s="3" t="s">
        <v>115</v>
      </c>
      <c r="C31" s="3" t="s">
        <v>116</v>
      </c>
      <c r="D31" s="19">
        <v>330</v>
      </c>
      <c r="E31" s="19">
        <v>379.5</v>
      </c>
      <c r="F31" s="21">
        <f t="shared" ref="F31" si="12">+E31-D31</f>
        <v>49.5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>
        <v>379.5</v>
      </c>
      <c r="AL31" s="21">
        <f t="shared" si="10"/>
        <v>379.5</v>
      </c>
      <c r="AM31" s="21">
        <f t="shared" si="11"/>
        <v>0</v>
      </c>
    </row>
    <row r="32" spans="1:39" x14ac:dyDescent="0.25">
      <c r="A32" s="17">
        <v>46221</v>
      </c>
      <c r="B32" s="3" t="s">
        <v>117</v>
      </c>
      <c r="C32" s="3" t="s">
        <v>118</v>
      </c>
      <c r="D32" s="19">
        <v>220</v>
      </c>
      <c r="E32" s="19">
        <v>253</v>
      </c>
      <c r="F32" s="21">
        <f t="shared" ref="F32" si="13">+E32-D32</f>
        <v>33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>
        <v>253</v>
      </c>
      <c r="AL32" s="21">
        <f t="shared" si="10"/>
        <v>253</v>
      </c>
      <c r="AM32" s="21">
        <f t="shared" si="11"/>
        <v>0</v>
      </c>
    </row>
    <row r="33" spans="1:39" x14ac:dyDescent="0.25">
      <c r="A33" s="18">
        <v>46221</v>
      </c>
      <c r="B33" s="2" t="s">
        <v>64</v>
      </c>
      <c r="C33" s="2" t="s">
        <v>65</v>
      </c>
      <c r="D33" s="19">
        <v>365</v>
      </c>
      <c r="E33" s="19">
        <v>419</v>
      </c>
      <c r="F33" s="21">
        <f t="shared" si="2"/>
        <v>54</v>
      </c>
      <c r="G33" s="21">
        <f t="shared" si="3"/>
        <v>54.75</v>
      </c>
      <c r="H33" s="21">
        <f t="shared" si="4"/>
        <v>419.75</v>
      </c>
      <c r="I33" s="19">
        <v>419</v>
      </c>
      <c r="J33" s="19" t="s">
        <v>66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1">
        <f t="shared" si="10"/>
        <v>419</v>
      </c>
      <c r="AM33" s="21">
        <f t="shared" si="11"/>
        <v>0</v>
      </c>
    </row>
    <row r="34" spans="1:39" x14ac:dyDescent="0.25">
      <c r="A34" s="18">
        <v>46221</v>
      </c>
      <c r="B34" s="2" t="s">
        <v>67</v>
      </c>
      <c r="C34" s="2" t="s">
        <v>68</v>
      </c>
      <c r="D34" s="19">
        <v>2840</v>
      </c>
      <c r="E34" s="19">
        <v>3222</v>
      </c>
      <c r="F34" s="21">
        <f t="shared" si="2"/>
        <v>382</v>
      </c>
      <c r="G34" s="21">
        <f t="shared" si="3"/>
        <v>426</v>
      </c>
      <c r="H34" s="21">
        <f t="shared" si="4"/>
        <v>3266</v>
      </c>
      <c r="I34" s="19">
        <v>722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24">
        <v>2500</v>
      </c>
      <c r="AL34" s="21">
        <f t="shared" si="10"/>
        <v>3222</v>
      </c>
      <c r="AM34" s="21">
        <f t="shared" si="11"/>
        <v>0</v>
      </c>
    </row>
    <row r="35" spans="1:39" x14ac:dyDescent="0.25">
      <c r="A35" s="18">
        <v>46221</v>
      </c>
      <c r="B35" s="2" t="s">
        <v>42</v>
      </c>
      <c r="C35" s="2" t="s">
        <v>88</v>
      </c>
      <c r="D35" s="19">
        <v>300</v>
      </c>
      <c r="E35" s="19">
        <v>345</v>
      </c>
      <c r="F35" s="21">
        <f t="shared" si="2"/>
        <v>45</v>
      </c>
      <c r="G35" s="21">
        <f t="shared" si="3"/>
        <v>45</v>
      </c>
      <c r="H35" s="21">
        <f t="shared" si="4"/>
        <v>345</v>
      </c>
      <c r="I35" s="19">
        <v>345</v>
      </c>
      <c r="J35" s="19" t="s">
        <v>34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1">
        <f t="shared" si="10"/>
        <v>345</v>
      </c>
      <c r="AM35" s="21">
        <f t="shared" si="11"/>
        <v>0</v>
      </c>
    </row>
    <row r="36" spans="1:39" x14ac:dyDescent="0.25">
      <c r="A36" s="18">
        <v>46221</v>
      </c>
      <c r="B36" s="2" t="s">
        <v>89</v>
      </c>
      <c r="C36" s="2" t="s">
        <v>90</v>
      </c>
      <c r="D36" s="19">
        <v>350</v>
      </c>
      <c r="E36" s="19">
        <v>402.5</v>
      </c>
      <c r="F36" s="21">
        <f t="shared" si="2"/>
        <v>52.5</v>
      </c>
      <c r="G36" s="21">
        <f t="shared" si="3"/>
        <v>52.5</v>
      </c>
      <c r="H36" s="21">
        <f t="shared" si="4"/>
        <v>402.5</v>
      </c>
      <c r="I36" s="19">
        <v>402.5</v>
      </c>
      <c r="J36" s="19"/>
      <c r="K36" s="19" t="s">
        <v>34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1">
        <f t="shared" si="10"/>
        <v>402.5</v>
      </c>
      <c r="AM36" s="21">
        <f t="shared" si="11"/>
        <v>0</v>
      </c>
    </row>
    <row r="37" spans="1:39" x14ac:dyDescent="0.25">
      <c r="A37" s="18">
        <v>46221</v>
      </c>
      <c r="B37" s="2" t="s">
        <v>91</v>
      </c>
      <c r="C37" s="2" t="s">
        <v>92</v>
      </c>
      <c r="D37" s="19">
        <v>1520</v>
      </c>
      <c r="E37" s="19">
        <v>1748</v>
      </c>
      <c r="F37" s="21">
        <f t="shared" si="2"/>
        <v>228</v>
      </c>
      <c r="G37" s="21">
        <f t="shared" si="3"/>
        <v>228</v>
      </c>
      <c r="H37" s="21">
        <f t="shared" si="4"/>
        <v>1748</v>
      </c>
      <c r="I37" s="19">
        <v>1748</v>
      </c>
      <c r="J37" s="19"/>
      <c r="K37" s="19" t="s">
        <v>34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1">
        <f t="shared" si="10"/>
        <v>1748</v>
      </c>
      <c r="AM37" s="21">
        <f t="shared" si="11"/>
        <v>0</v>
      </c>
    </row>
    <row r="38" spans="1:39" x14ac:dyDescent="0.25">
      <c r="A38" s="17">
        <v>46221</v>
      </c>
      <c r="B38" s="3" t="s">
        <v>119</v>
      </c>
      <c r="C38" s="3" t="s">
        <v>120</v>
      </c>
      <c r="D38" s="19">
        <v>100</v>
      </c>
      <c r="E38" s="19">
        <v>100</v>
      </c>
      <c r="F38" s="21">
        <f t="shared" ref="F38" si="14">+E38-D38</f>
        <v>0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>
        <v>100</v>
      </c>
      <c r="AL38" s="21">
        <f t="shared" si="10"/>
        <v>100</v>
      </c>
      <c r="AM38" s="21">
        <f t="shared" si="11"/>
        <v>0</v>
      </c>
    </row>
    <row r="39" spans="1:39" x14ac:dyDescent="0.25">
      <c r="A39" s="18">
        <v>46221</v>
      </c>
      <c r="B39" s="2" t="s">
        <v>82</v>
      </c>
      <c r="C39" s="2" t="s">
        <v>95</v>
      </c>
      <c r="D39" s="19">
        <v>330</v>
      </c>
      <c r="E39" s="19">
        <v>379</v>
      </c>
      <c r="F39" s="21">
        <f t="shared" si="2"/>
        <v>49</v>
      </c>
      <c r="G39" s="21">
        <f t="shared" si="3"/>
        <v>49.5</v>
      </c>
      <c r="H39" s="21">
        <f t="shared" si="4"/>
        <v>379.5</v>
      </c>
      <c r="I39" s="19">
        <v>379</v>
      </c>
      <c r="J39" s="19" t="s">
        <v>34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1">
        <f t="shared" si="10"/>
        <v>379</v>
      </c>
      <c r="AM39" s="21">
        <f t="shared" si="11"/>
        <v>0</v>
      </c>
    </row>
    <row r="40" spans="1:39" x14ac:dyDescent="0.25">
      <c r="A40" s="18">
        <v>46221</v>
      </c>
      <c r="B40" s="2" t="s">
        <v>93</v>
      </c>
      <c r="C40" s="2" t="s">
        <v>94</v>
      </c>
      <c r="D40" s="19">
        <v>3875</v>
      </c>
      <c r="E40" s="19">
        <v>4650</v>
      </c>
      <c r="F40" s="21">
        <f t="shared" si="2"/>
        <v>775</v>
      </c>
      <c r="G40" s="21">
        <f t="shared" si="3"/>
        <v>581.25</v>
      </c>
      <c r="H40" s="21">
        <f t="shared" si="4"/>
        <v>4456.25</v>
      </c>
      <c r="I40" s="19">
        <v>1440</v>
      </c>
      <c r="J40" s="19"/>
      <c r="K40" s="19"/>
      <c r="L40" s="19" t="s">
        <v>34</v>
      </c>
      <c r="M40" s="19">
        <v>3210</v>
      </c>
      <c r="N40" s="19"/>
      <c r="O40" s="19" t="s">
        <v>34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1">
        <f t="shared" si="10"/>
        <v>4650</v>
      </c>
      <c r="AM40" s="21">
        <f t="shared" si="11"/>
        <v>0</v>
      </c>
    </row>
    <row r="41" spans="1:39" x14ac:dyDescent="0.25">
      <c r="A41" s="17">
        <v>46221</v>
      </c>
      <c r="B41" s="3" t="s">
        <v>93</v>
      </c>
      <c r="C41" s="3" t="s">
        <v>121</v>
      </c>
      <c r="D41" s="19">
        <v>500</v>
      </c>
      <c r="E41" s="19">
        <v>575</v>
      </c>
      <c r="F41" s="21">
        <f t="shared" ref="F41" si="15">+E41-D41</f>
        <v>75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>
        <v>575</v>
      </c>
      <c r="AL41" s="21">
        <f t="shared" si="10"/>
        <v>575</v>
      </c>
      <c r="AM41" s="21">
        <f t="shared" si="11"/>
        <v>0</v>
      </c>
    </row>
    <row r="42" spans="1:39" x14ac:dyDescent="0.25">
      <c r="A42" s="18">
        <v>46221</v>
      </c>
      <c r="B42" s="2" t="s">
        <v>96</v>
      </c>
      <c r="C42" s="2" t="s">
        <v>97</v>
      </c>
      <c r="D42" s="19">
        <v>1030</v>
      </c>
      <c r="E42" s="19">
        <v>1184.5</v>
      </c>
      <c r="F42" s="21">
        <f t="shared" si="2"/>
        <v>154.5</v>
      </c>
      <c r="G42" s="21">
        <f t="shared" si="3"/>
        <v>154.5</v>
      </c>
      <c r="H42" s="21">
        <f t="shared" si="4"/>
        <v>1184.5</v>
      </c>
      <c r="I42" s="19">
        <v>1184.5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1">
        <f t="shared" si="10"/>
        <v>1184.5</v>
      </c>
      <c r="AM42" s="21">
        <f t="shared" si="11"/>
        <v>0</v>
      </c>
    </row>
    <row r="43" spans="1:39" x14ac:dyDescent="0.25">
      <c r="A43" s="18">
        <v>46221</v>
      </c>
      <c r="B43" s="2" t="s">
        <v>84</v>
      </c>
      <c r="C43" s="2" t="s">
        <v>101</v>
      </c>
      <c r="D43" s="19">
        <v>2900</v>
      </c>
      <c r="E43" s="19">
        <v>3335</v>
      </c>
      <c r="F43" s="21">
        <f t="shared" ref="F43:F44" si="16">+E43-D43</f>
        <v>435</v>
      </c>
      <c r="G43" s="21">
        <f t="shared" ref="G43" si="17">+D43*0.15</f>
        <v>435</v>
      </c>
      <c r="H43" s="21">
        <f t="shared" ref="H43" si="18">+D43+G43</f>
        <v>3335</v>
      </c>
      <c r="I43" s="19">
        <v>3335</v>
      </c>
      <c r="J43" s="19" t="s">
        <v>34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1">
        <f t="shared" si="10"/>
        <v>3335</v>
      </c>
      <c r="AM43" s="21">
        <f t="shared" si="11"/>
        <v>0</v>
      </c>
    </row>
    <row r="44" spans="1:39" x14ac:dyDescent="0.25">
      <c r="A44" s="17">
        <v>46221</v>
      </c>
      <c r="B44" s="3" t="s">
        <v>123</v>
      </c>
      <c r="C44" s="3" t="s">
        <v>122</v>
      </c>
      <c r="D44" s="19">
        <v>1340</v>
      </c>
      <c r="E44" s="19">
        <v>1541</v>
      </c>
      <c r="F44" s="21">
        <f t="shared" si="16"/>
        <v>201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>
        <v>1541</v>
      </c>
      <c r="AL44" s="21">
        <f t="shared" si="10"/>
        <v>1541</v>
      </c>
      <c r="AM44" s="21">
        <f t="shared" si="11"/>
        <v>0</v>
      </c>
    </row>
    <row r="45" spans="1:39" x14ac:dyDescent="0.25">
      <c r="A45" s="18">
        <v>46221</v>
      </c>
      <c r="B45" s="2" t="s">
        <v>86</v>
      </c>
      <c r="C45" s="2" t="s">
        <v>98</v>
      </c>
      <c r="D45" s="19">
        <v>2690</v>
      </c>
      <c r="E45" s="19">
        <v>3093.5</v>
      </c>
      <c r="F45" s="21">
        <f t="shared" si="2"/>
        <v>403.5</v>
      </c>
      <c r="G45" s="21">
        <f t="shared" si="3"/>
        <v>403.5</v>
      </c>
      <c r="H45" s="21">
        <f t="shared" si="4"/>
        <v>3093.5</v>
      </c>
      <c r="I45" s="19">
        <v>700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24">
        <v>2393.5</v>
      </c>
      <c r="AL45" s="21">
        <f t="shared" si="10"/>
        <v>3093.5</v>
      </c>
      <c r="AM45" s="21">
        <f t="shared" si="11"/>
        <v>0</v>
      </c>
    </row>
    <row r="46" spans="1:39" x14ac:dyDescent="0.25">
      <c r="A46" s="18">
        <v>46221</v>
      </c>
      <c r="B46" s="2" t="s">
        <v>99</v>
      </c>
      <c r="C46" s="2" t="s">
        <v>100</v>
      </c>
      <c r="D46" s="19">
        <v>1640</v>
      </c>
      <c r="E46" s="19">
        <v>1886</v>
      </c>
      <c r="F46" s="21">
        <f t="shared" si="2"/>
        <v>246</v>
      </c>
      <c r="G46" s="21">
        <f t="shared" si="3"/>
        <v>246</v>
      </c>
      <c r="H46" s="21">
        <f t="shared" si="4"/>
        <v>1886</v>
      </c>
      <c r="I46" s="19">
        <v>943</v>
      </c>
      <c r="J46" s="19" t="s">
        <v>34</v>
      </c>
      <c r="K46" s="19"/>
      <c r="L46" s="19"/>
      <c r="M46" s="19">
        <v>943</v>
      </c>
      <c r="N46" s="19"/>
      <c r="O46" s="19" t="s">
        <v>34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1">
        <f t="shared" si="10"/>
        <v>1886</v>
      </c>
      <c r="AM46" s="21">
        <f t="shared" si="11"/>
        <v>0</v>
      </c>
    </row>
    <row r="47" spans="1:39" x14ac:dyDescent="0.25">
      <c r="A47" s="18">
        <v>46221</v>
      </c>
      <c r="B47" s="2" t="s">
        <v>102</v>
      </c>
      <c r="C47" s="2" t="s">
        <v>103</v>
      </c>
      <c r="D47" s="19">
        <v>1760</v>
      </c>
      <c r="E47" s="19">
        <v>2024</v>
      </c>
      <c r="F47" s="21">
        <f t="shared" si="2"/>
        <v>264</v>
      </c>
      <c r="G47" s="21">
        <f t="shared" si="3"/>
        <v>264</v>
      </c>
      <c r="H47" s="21">
        <f t="shared" si="4"/>
        <v>2024</v>
      </c>
      <c r="I47" s="19">
        <v>2024</v>
      </c>
      <c r="J47" s="19"/>
      <c r="K47" s="19" t="s">
        <v>34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1">
        <f t="shared" si="10"/>
        <v>2024</v>
      </c>
      <c r="AM47" s="21">
        <f t="shared" si="11"/>
        <v>0</v>
      </c>
    </row>
    <row r="48" spans="1:39" x14ac:dyDescent="0.25">
      <c r="A48" s="17">
        <v>46221</v>
      </c>
      <c r="B48" s="3" t="s">
        <v>124</v>
      </c>
      <c r="C48" s="3" t="s">
        <v>125</v>
      </c>
      <c r="D48" s="19">
        <v>510</v>
      </c>
      <c r="E48" s="19">
        <v>586.5</v>
      </c>
      <c r="F48" s="21">
        <f t="shared" ref="F48" si="19">+E48-D48</f>
        <v>76.5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>
        <v>586.5</v>
      </c>
      <c r="AL48" s="21">
        <f t="shared" si="10"/>
        <v>586.5</v>
      </c>
      <c r="AM48" s="21">
        <f t="shared" si="11"/>
        <v>0</v>
      </c>
    </row>
    <row r="49" spans="1:39" x14ac:dyDescent="0.25">
      <c r="A49" s="18">
        <v>46221</v>
      </c>
      <c r="B49" s="2" t="s">
        <v>104</v>
      </c>
      <c r="C49" s="2" t="s">
        <v>105</v>
      </c>
      <c r="D49" s="19">
        <v>1480</v>
      </c>
      <c r="E49" s="19">
        <v>1702</v>
      </c>
      <c r="F49" s="21">
        <f t="shared" si="2"/>
        <v>222</v>
      </c>
      <c r="G49" s="21">
        <f t="shared" si="3"/>
        <v>222</v>
      </c>
      <c r="H49" s="21">
        <f t="shared" si="4"/>
        <v>1702</v>
      </c>
      <c r="I49" s="19">
        <v>1702</v>
      </c>
      <c r="J49" s="19"/>
      <c r="K49" s="19" t="s">
        <v>34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1">
        <f t="shared" si="10"/>
        <v>1702</v>
      </c>
      <c r="AM49" s="21">
        <f t="shared" si="11"/>
        <v>0</v>
      </c>
    </row>
    <row r="50" spans="1:39" x14ac:dyDescent="0.25">
      <c r="A50" s="17">
        <v>46221</v>
      </c>
      <c r="B50" s="3" t="s">
        <v>126</v>
      </c>
      <c r="C50" s="3" t="s">
        <v>127</v>
      </c>
      <c r="D50" s="19">
        <v>3480</v>
      </c>
      <c r="E50" s="19">
        <v>4002</v>
      </c>
      <c r="F50" s="21">
        <f t="shared" ref="F50:F53" si="20">+E50-D50</f>
        <v>522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>
        <v>4002</v>
      </c>
      <c r="AL50" s="21">
        <f t="shared" si="10"/>
        <v>4002</v>
      </c>
      <c r="AM50" s="21">
        <f t="shared" si="11"/>
        <v>0</v>
      </c>
    </row>
    <row r="51" spans="1:39" x14ac:dyDescent="0.25">
      <c r="A51" s="17">
        <v>46221</v>
      </c>
      <c r="B51" s="3" t="s">
        <v>128</v>
      </c>
      <c r="C51" s="3" t="s">
        <v>129</v>
      </c>
      <c r="D51" s="19">
        <v>30</v>
      </c>
      <c r="E51" s="19">
        <v>30</v>
      </c>
      <c r="F51" s="21">
        <f t="shared" si="20"/>
        <v>0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>
        <v>30</v>
      </c>
      <c r="AL51" s="21">
        <f t="shared" si="10"/>
        <v>30</v>
      </c>
      <c r="AM51" s="21">
        <f t="shared" si="11"/>
        <v>0</v>
      </c>
    </row>
    <row r="52" spans="1:39" x14ac:dyDescent="0.25">
      <c r="A52" s="17">
        <v>46221</v>
      </c>
      <c r="B52" s="3" t="s">
        <v>130</v>
      </c>
      <c r="C52" s="3" t="s">
        <v>131</v>
      </c>
      <c r="D52" s="19">
        <v>1765</v>
      </c>
      <c r="E52" s="19">
        <v>2029.75</v>
      </c>
      <c r="F52" s="21">
        <f t="shared" si="20"/>
        <v>264.75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>
        <v>2029.75</v>
      </c>
      <c r="AL52" s="21">
        <f t="shared" si="10"/>
        <v>2029.75</v>
      </c>
      <c r="AM52" s="21">
        <f t="shared" si="11"/>
        <v>0</v>
      </c>
    </row>
    <row r="53" spans="1:39" x14ac:dyDescent="0.25">
      <c r="A53" s="17">
        <v>46221</v>
      </c>
      <c r="B53" s="3" t="s">
        <v>56</v>
      </c>
      <c r="C53" s="3" t="s">
        <v>132</v>
      </c>
      <c r="D53" s="19">
        <v>200</v>
      </c>
      <c r="E53" s="19">
        <v>230</v>
      </c>
      <c r="F53" s="21">
        <f t="shared" si="20"/>
        <v>30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>
        <v>230</v>
      </c>
      <c r="AL53" s="21">
        <f t="shared" si="10"/>
        <v>230</v>
      </c>
      <c r="AM53" s="21">
        <f t="shared" si="11"/>
        <v>0</v>
      </c>
    </row>
    <row r="54" spans="1:39" x14ac:dyDescent="0.25">
      <c r="A54" s="18">
        <v>46221</v>
      </c>
      <c r="B54" s="2" t="s">
        <v>106</v>
      </c>
      <c r="C54" s="2" t="s">
        <v>107</v>
      </c>
      <c r="D54" s="19">
        <v>6320</v>
      </c>
      <c r="E54" s="19">
        <v>7268</v>
      </c>
      <c r="F54" s="21">
        <f t="shared" si="2"/>
        <v>948</v>
      </c>
      <c r="G54" s="21">
        <f t="shared" si="3"/>
        <v>948</v>
      </c>
      <c r="H54" s="21">
        <f t="shared" si="4"/>
        <v>7268</v>
      </c>
      <c r="I54" s="19">
        <v>972.01</v>
      </c>
      <c r="J54" s="19"/>
      <c r="K54" s="19" t="s">
        <v>34</v>
      </c>
      <c r="L54" s="19"/>
      <c r="M54" s="19">
        <v>488</v>
      </c>
      <c r="N54" s="19"/>
      <c r="O54" s="19" t="s">
        <v>34</v>
      </c>
      <c r="P54" s="19"/>
      <c r="Q54" s="19">
        <v>730</v>
      </c>
      <c r="R54" s="19" t="s">
        <v>34</v>
      </c>
      <c r="S54" s="19"/>
      <c r="T54" s="19"/>
      <c r="U54" s="19">
        <v>730</v>
      </c>
      <c r="V54" s="19" t="s">
        <v>34</v>
      </c>
      <c r="W54" s="19"/>
      <c r="X54" s="19"/>
      <c r="Y54" s="19">
        <v>108</v>
      </c>
      <c r="Z54" s="19" t="s">
        <v>34</v>
      </c>
      <c r="AA54" s="19"/>
      <c r="AB54" s="19"/>
      <c r="AC54" s="19">
        <v>1500</v>
      </c>
      <c r="AD54" s="19" t="s">
        <v>14</v>
      </c>
      <c r="AE54" s="19" t="s">
        <v>34</v>
      </c>
      <c r="AF54" s="19"/>
      <c r="AG54" s="19">
        <v>2412.0100000000002</v>
      </c>
      <c r="AH54" s="19" t="s">
        <v>34</v>
      </c>
      <c r="AI54" s="19"/>
      <c r="AJ54" s="19"/>
      <c r="AK54" s="24">
        <v>328</v>
      </c>
      <c r="AL54" s="21">
        <f t="shared" si="10"/>
        <v>7268.02</v>
      </c>
      <c r="AM54" s="21">
        <f t="shared" si="11"/>
        <v>2.0000000000436557E-2</v>
      </c>
    </row>
    <row r="55" spans="1:39" x14ac:dyDescent="0.25">
      <c r="A55" s="18">
        <v>46221</v>
      </c>
      <c r="B55" s="2" t="s">
        <v>108</v>
      </c>
      <c r="C55" s="2" t="s">
        <v>109</v>
      </c>
      <c r="D55" s="19">
        <v>4110</v>
      </c>
      <c r="E55" s="19">
        <v>4726.5</v>
      </c>
      <c r="F55" s="21">
        <f t="shared" si="2"/>
        <v>616.5</v>
      </c>
      <c r="G55" s="21">
        <f t="shared" si="3"/>
        <v>616.5</v>
      </c>
      <c r="H55" s="21">
        <f t="shared" si="4"/>
        <v>4726.5</v>
      </c>
      <c r="I55" s="19">
        <v>2412</v>
      </c>
      <c r="J55" s="19" t="s">
        <v>34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24">
        <v>2314.5</v>
      </c>
      <c r="AL55" s="21">
        <f t="shared" si="10"/>
        <v>4726.5</v>
      </c>
      <c r="AM55" s="21">
        <f t="shared" si="11"/>
        <v>0</v>
      </c>
    </row>
    <row r="56" spans="1:39" x14ac:dyDescent="0.25">
      <c r="A56" s="17">
        <v>46221</v>
      </c>
      <c r="B56" s="3" t="s">
        <v>133</v>
      </c>
      <c r="C56" s="3" t="s">
        <v>134</v>
      </c>
      <c r="D56" s="19">
        <v>1265</v>
      </c>
      <c r="E56" s="19">
        <v>1454.75</v>
      </c>
      <c r="F56" s="21">
        <f t="shared" ref="F56:F60" si="21">+E56-D56</f>
        <v>189.75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>
        <v>1454.75</v>
      </c>
      <c r="AL56" s="21">
        <f t="shared" si="10"/>
        <v>1454.75</v>
      </c>
      <c r="AM56" s="21">
        <f t="shared" si="11"/>
        <v>0</v>
      </c>
    </row>
    <row r="57" spans="1:39" x14ac:dyDescent="0.25">
      <c r="A57" s="17">
        <v>46221</v>
      </c>
      <c r="B57" s="3" t="s">
        <v>135</v>
      </c>
      <c r="C57" s="3" t="s">
        <v>136</v>
      </c>
      <c r="D57" s="19">
        <v>1200</v>
      </c>
      <c r="E57" s="19">
        <v>1380</v>
      </c>
      <c r="F57" s="21">
        <f t="shared" si="21"/>
        <v>180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>
        <v>1380</v>
      </c>
      <c r="AL57" s="21">
        <f t="shared" si="10"/>
        <v>1380</v>
      </c>
      <c r="AM57" s="21">
        <f t="shared" si="11"/>
        <v>0</v>
      </c>
    </row>
    <row r="58" spans="1:39" x14ac:dyDescent="0.25">
      <c r="A58" s="17">
        <v>46221</v>
      </c>
      <c r="B58" s="3" t="s">
        <v>137</v>
      </c>
      <c r="C58" s="3" t="s">
        <v>138</v>
      </c>
      <c r="D58" s="19">
        <v>1240</v>
      </c>
      <c r="E58" s="19">
        <v>1426</v>
      </c>
      <c r="F58" s="21">
        <f t="shared" si="21"/>
        <v>186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>
        <v>1426</v>
      </c>
      <c r="AL58" s="21">
        <f t="shared" si="10"/>
        <v>1426</v>
      </c>
      <c r="AM58" s="21">
        <f t="shared" si="11"/>
        <v>0</v>
      </c>
    </row>
    <row r="59" spans="1:39" x14ac:dyDescent="0.25">
      <c r="A59" s="17">
        <v>46221</v>
      </c>
      <c r="B59" s="3" t="s">
        <v>139</v>
      </c>
      <c r="C59" s="3" t="s">
        <v>140</v>
      </c>
      <c r="D59" s="19">
        <v>200</v>
      </c>
      <c r="E59" s="19">
        <v>230</v>
      </c>
      <c r="F59" s="21">
        <f t="shared" si="21"/>
        <v>30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>
        <v>230</v>
      </c>
      <c r="AL59" s="21">
        <f t="shared" si="10"/>
        <v>230</v>
      </c>
      <c r="AM59" s="21">
        <f t="shared" si="11"/>
        <v>0</v>
      </c>
    </row>
    <row r="60" spans="1:39" ht="15.75" thickBot="1" x14ac:dyDescent="0.3">
      <c r="A60" s="17">
        <v>46221</v>
      </c>
      <c r="B60" s="3" t="s">
        <v>141</v>
      </c>
      <c r="C60" s="3" t="s">
        <v>142</v>
      </c>
      <c r="D60" s="19">
        <v>810</v>
      </c>
      <c r="E60" s="19">
        <v>931.5</v>
      </c>
      <c r="F60" s="21">
        <f t="shared" si="21"/>
        <v>121.5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>
        <v>931.5</v>
      </c>
      <c r="AL60" s="21">
        <f t="shared" si="10"/>
        <v>931.5</v>
      </c>
      <c r="AM60" s="21">
        <f t="shared" si="11"/>
        <v>0</v>
      </c>
    </row>
    <row r="61" spans="1:39" s="48" customFormat="1" ht="19.5" thickBot="1" x14ac:dyDescent="0.35">
      <c r="A61" s="67" t="s">
        <v>110</v>
      </c>
      <c r="B61" s="68"/>
      <c r="C61" s="69"/>
      <c r="D61" s="46">
        <f>SUM(D27:D60)</f>
        <v>52870</v>
      </c>
      <c r="E61" s="46">
        <f>SUM(E27:E60)</f>
        <v>61045.5</v>
      </c>
      <c r="F61" s="46">
        <f>SUM(F27:F60)</f>
        <v>8175.5</v>
      </c>
      <c r="G61" s="46"/>
      <c r="H61" s="46"/>
      <c r="I61" s="46">
        <f>SUM(I27:I60)</f>
        <v>27457.01</v>
      </c>
      <c r="J61" s="46"/>
      <c r="K61" s="46"/>
      <c r="L61" s="46"/>
      <c r="M61" s="46">
        <f>SUM(M27:M60)</f>
        <v>4641</v>
      </c>
      <c r="N61" s="46"/>
      <c r="O61" s="46"/>
      <c r="P61" s="46"/>
      <c r="Q61" s="46">
        <f>SUM(Q27:Q60)</f>
        <v>730</v>
      </c>
      <c r="R61" s="46"/>
      <c r="S61" s="46"/>
      <c r="T61" s="46"/>
      <c r="U61" s="46">
        <f>SUM(U27:U60)</f>
        <v>730</v>
      </c>
      <c r="V61" s="46"/>
      <c r="W61" s="46"/>
      <c r="X61" s="46"/>
      <c r="Y61" s="46">
        <f>SUM(Y27:Y60)</f>
        <v>108</v>
      </c>
      <c r="Z61" s="46"/>
      <c r="AA61" s="46"/>
      <c r="AB61" s="46"/>
      <c r="AC61" s="46">
        <f>SUM(AC27:AC60)</f>
        <v>1500</v>
      </c>
      <c r="AD61" s="46"/>
      <c r="AE61" s="46"/>
      <c r="AF61" s="46"/>
      <c r="AG61" s="46">
        <f>SUM(AG27:AG60)</f>
        <v>2412.0100000000002</v>
      </c>
      <c r="AH61" s="46"/>
      <c r="AI61" s="46"/>
      <c r="AJ61" s="46">
        <f>SUM(AJ27:AJ60)</f>
        <v>0</v>
      </c>
      <c r="AK61" s="46">
        <f>SUM(AK26:AK60)</f>
        <v>23702.75</v>
      </c>
      <c r="AL61" s="46">
        <f>SUM(AL27:AL60)</f>
        <v>61045.020000000004</v>
      </c>
      <c r="AM61" s="47"/>
    </row>
    <row r="62" spans="1:39" x14ac:dyDescent="0.25">
      <c r="A62" s="17">
        <v>46221</v>
      </c>
      <c r="B62" s="3" t="s">
        <v>143</v>
      </c>
      <c r="C62" s="3" t="s">
        <v>144</v>
      </c>
      <c r="D62" s="21">
        <v>315</v>
      </c>
      <c r="E62" s="21">
        <v>362.25</v>
      </c>
      <c r="F62" s="21">
        <f t="shared" si="2"/>
        <v>47.25</v>
      </c>
      <c r="G62" s="21">
        <f t="shared" si="3"/>
        <v>47.25</v>
      </c>
      <c r="H62" s="21">
        <f t="shared" si="4"/>
        <v>362.25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>
        <v>362.25</v>
      </c>
      <c r="AL62" s="21">
        <f>SUM(I62:AK62)</f>
        <v>362.25</v>
      </c>
      <c r="AM62" s="21">
        <f>+AL62-E62</f>
        <v>0</v>
      </c>
    </row>
    <row r="63" spans="1:39" ht="14.25" customHeight="1" x14ac:dyDescent="0.25">
      <c r="A63" s="18">
        <v>46221</v>
      </c>
      <c r="B63" s="2" t="s">
        <v>182</v>
      </c>
      <c r="C63" s="2" t="s">
        <v>183</v>
      </c>
      <c r="D63" s="19">
        <v>410</v>
      </c>
      <c r="E63" s="19">
        <v>471</v>
      </c>
      <c r="F63" s="21">
        <f t="shared" si="2"/>
        <v>61</v>
      </c>
      <c r="G63" s="21">
        <f t="shared" si="3"/>
        <v>61.5</v>
      </c>
      <c r="H63" s="21">
        <f t="shared" si="4"/>
        <v>471.5</v>
      </c>
      <c r="I63" s="50">
        <v>471</v>
      </c>
      <c r="J63" s="19" t="s">
        <v>14</v>
      </c>
      <c r="K63" s="19" t="s">
        <v>34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1">
        <f t="shared" ref="AL63:AL95" si="22">SUM(I63:AK63)</f>
        <v>471</v>
      </c>
      <c r="AM63" s="21">
        <f t="shared" ref="AM63:AM95" si="23">+AL63-E63</f>
        <v>0</v>
      </c>
    </row>
    <row r="64" spans="1:39" x14ac:dyDescent="0.25">
      <c r="A64" s="18">
        <v>46221</v>
      </c>
      <c r="B64" s="2" t="s">
        <v>145</v>
      </c>
      <c r="C64" s="2" t="s">
        <v>146</v>
      </c>
      <c r="D64" s="19">
        <v>270</v>
      </c>
      <c r="E64" s="19">
        <v>310</v>
      </c>
      <c r="F64" s="21">
        <f t="shared" si="2"/>
        <v>40</v>
      </c>
      <c r="G64" s="21">
        <f t="shared" si="3"/>
        <v>40.5</v>
      </c>
      <c r="H64" s="21">
        <f t="shared" si="4"/>
        <v>310.5</v>
      </c>
      <c r="I64" s="5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>
        <v>310</v>
      </c>
      <c r="AL64" s="21">
        <f t="shared" si="22"/>
        <v>310</v>
      </c>
      <c r="AM64" s="21">
        <f t="shared" si="23"/>
        <v>0</v>
      </c>
    </row>
    <row r="65" spans="1:39" x14ac:dyDescent="0.25">
      <c r="A65" s="18">
        <v>46221</v>
      </c>
      <c r="B65" s="2" t="s">
        <v>147</v>
      </c>
      <c r="C65" s="2" t="s">
        <v>148</v>
      </c>
      <c r="D65" s="19">
        <v>100</v>
      </c>
      <c r="E65" s="19">
        <v>115</v>
      </c>
      <c r="F65" s="21">
        <f t="shared" si="2"/>
        <v>15</v>
      </c>
      <c r="G65" s="21">
        <f t="shared" si="3"/>
        <v>15</v>
      </c>
      <c r="H65" s="21">
        <f t="shared" si="4"/>
        <v>115</v>
      </c>
      <c r="I65" s="5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>
        <v>115</v>
      </c>
      <c r="AL65" s="21">
        <f t="shared" si="22"/>
        <v>115</v>
      </c>
      <c r="AM65" s="21">
        <f t="shared" si="23"/>
        <v>0</v>
      </c>
    </row>
    <row r="66" spans="1:39" x14ac:dyDescent="0.25">
      <c r="A66" s="18">
        <v>46221</v>
      </c>
      <c r="B66" s="2" t="s">
        <v>151</v>
      </c>
      <c r="C66" s="2" t="s">
        <v>149</v>
      </c>
      <c r="D66" s="19">
        <v>80</v>
      </c>
      <c r="E66" s="19">
        <v>92</v>
      </c>
      <c r="F66" s="21">
        <f t="shared" si="2"/>
        <v>12</v>
      </c>
      <c r="G66" s="21">
        <f t="shared" si="3"/>
        <v>12</v>
      </c>
      <c r="H66" s="21">
        <f t="shared" si="4"/>
        <v>92</v>
      </c>
      <c r="I66" s="5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>
        <v>92</v>
      </c>
      <c r="AL66" s="21">
        <f t="shared" si="22"/>
        <v>92</v>
      </c>
      <c r="AM66" s="21">
        <f t="shared" si="23"/>
        <v>0</v>
      </c>
    </row>
    <row r="67" spans="1:39" x14ac:dyDescent="0.25">
      <c r="A67" s="18">
        <v>46221</v>
      </c>
      <c r="B67" s="2" t="s">
        <v>150</v>
      </c>
      <c r="C67" s="2" t="s">
        <v>152</v>
      </c>
      <c r="D67" s="19">
        <v>110</v>
      </c>
      <c r="E67" s="19">
        <v>126.5</v>
      </c>
      <c r="F67" s="21">
        <f t="shared" si="2"/>
        <v>16.5</v>
      </c>
      <c r="G67" s="21">
        <f t="shared" si="3"/>
        <v>16.5</v>
      </c>
      <c r="H67" s="21">
        <f t="shared" si="4"/>
        <v>126.5</v>
      </c>
      <c r="I67" s="5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>
        <v>126.5</v>
      </c>
      <c r="AL67" s="21">
        <f t="shared" si="22"/>
        <v>126.5</v>
      </c>
      <c r="AM67" s="21">
        <f t="shared" si="23"/>
        <v>0</v>
      </c>
    </row>
    <row r="68" spans="1:39" x14ac:dyDescent="0.25">
      <c r="A68" s="18">
        <v>46222</v>
      </c>
      <c r="B68" s="2" t="s">
        <v>199</v>
      </c>
      <c r="C68" s="2" t="s">
        <v>200</v>
      </c>
      <c r="D68" s="19">
        <v>1500</v>
      </c>
      <c r="E68" s="19">
        <v>1725</v>
      </c>
      <c r="F68" s="21">
        <f t="shared" si="2"/>
        <v>225</v>
      </c>
      <c r="G68" s="21">
        <f t="shared" si="3"/>
        <v>225</v>
      </c>
      <c r="H68" s="21">
        <f t="shared" si="4"/>
        <v>1725</v>
      </c>
      <c r="I68" s="50">
        <v>1725</v>
      </c>
      <c r="J68" s="19"/>
      <c r="K68" s="19" t="s">
        <v>34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1">
        <f t="shared" si="22"/>
        <v>1725</v>
      </c>
      <c r="AM68" s="21">
        <f t="shared" si="23"/>
        <v>0</v>
      </c>
    </row>
    <row r="69" spans="1:39" ht="14.25" customHeight="1" x14ac:dyDescent="0.25">
      <c r="A69" s="18">
        <v>46222</v>
      </c>
      <c r="B69" s="2" t="s">
        <v>113</v>
      </c>
      <c r="C69" s="2" t="s">
        <v>187</v>
      </c>
      <c r="D69" s="19">
        <v>280</v>
      </c>
      <c r="E69" s="19">
        <v>280</v>
      </c>
      <c r="F69" s="21">
        <f t="shared" si="2"/>
        <v>0</v>
      </c>
      <c r="G69" s="21">
        <f t="shared" si="3"/>
        <v>42</v>
      </c>
      <c r="H69" s="21">
        <f t="shared" si="4"/>
        <v>322</v>
      </c>
      <c r="I69" s="50">
        <v>280</v>
      </c>
      <c r="J69" s="19" t="s">
        <v>34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1">
        <f t="shared" si="22"/>
        <v>280</v>
      </c>
      <c r="AM69" s="21">
        <f t="shared" si="23"/>
        <v>0</v>
      </c>
    </row>
    <row r="70" spans="1:39" ht="14.25" customHeight="1" x14ac:dyDescent="0.25">
      <c r="A70" s="18">
        <v>46222</v>
      </c>
      <c r="B70" s="2" t="s">
        <v>174</v>
      </c>
      <c r="C70" s="2" t="s">
        <v>175</v>
      </c>
      <c r="D70" s="19">
        <v>1080</v>
      </c>
      <c r="E70" s="19">
        <v>1080</v>
      </c>
      <c r="F70" s="21">
        <f t="shared" ref="F70" si="24">+E70-D70</f>
        <v>0</v>
      </c>
      <c r="G70" s="21">
        <f t="shared" ref="G70" si="25">+D70*0.15</f>
        <v>162</v>
      </c>
      <c r="H70" s="21">
        <f t="shared" ref="H70" si="26">+D70+G70</f>
        <v>1242</v>
      </c>
      <c r="I70" s="50">
        <v>1080</v>
      </c>
      <c r="J70" s="19" t="s">
        <v>34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1">
        <f t="shared" si="22"/>
        <v>1080</v>
      </c>
      <c r="AM70" s="21">
        <f t="shared" si="23"/>
        <v>0</v>
      </c>
    </row>
    <row r="71" spans="1:39" ht="14.25" customHeight="1" x14ac:dyDescent="0.25">
      <c r="A71" s="18">
        <v>46222</v>
      </c>
      <c r="B71" s="2" t="s">
        <v>176</v>
      </c>
      <c r="C71" s="2" t="s">
        <v>177</v>
      </c>
      <c r="D71" s="19">
        <v>1200</v>
      </c>
      <c r="E71" s="19">
        <v>1440</v>
      </c>
      <c r="F71" s="21">
        <f t="shared" ref="F71" si="27">+E71-D71</f>
        <v>240</v>
      </c>
      <c r="G71" s="21">
        <f t="shared" ref="G71" si="28">+D71*0.15</f>
        <v>180</v>
      </c>
      <c r="H71" s="21">
        <f t="shared" ref="H71" si="29">+D71+G71</f>
        <v>1380</v>
      </c>
      <c r="I71" s="50">
        <v>1440</v>
      </c>
      <c r="J71" s="19" t="s">
        <v>14</v>
      </c>
      <c r="K71" s="19" t="s">
        <v>34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1">
        <f t="shared" si="22"/>
        <v>1440</v>
      </c>
      <c r="AM71" s="21">
        <f t="shared" si="23"/>
        <v>0</v>
      </c>
    </row>
    <row r="72" spans="1:39" ht="14.25" customHeight="1" x14ac:dyDescent="0.25">
      <c r="A72" s="18">
        <v>46222</v>
      </c>
      <c r="B72" s="2" t="s">
        <v>178</v>
      </c>
      <c r="C72" s="2" t="s">
        <v>179</v>
      </c>
      <c r="D72" s="19">
        <v>1720</v>
      </c>
      <c r="E72" s="19">
        <v>2175.8000000000002</v>
      </c>
      <c r="F72" s="21">
        <f t="shared" ref="F72" si="30">+E72-D72</f>
        <v>455.80000000000018</v>
      </c>
      <c r="G72" s="21">
        <f t="shared" ref="G72" si="31">+D72*0.15</f>
        <v>258</v>
      </c>
      <c r="H72" s="21">
        <f t="shared" ref="H72" si="32">+D72+G72</f>
        <v>1978</v>
      </c>
      <c r="I72" s="50">
        <v>2175.8000000000002</v>
      </c>
      <c r="J72" s="19" t="s">
        <v>14</v>
      </c>
      <c r="K72" s="19" t="s">
        <v>34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1">
        <f t="shared" si="22"/>
        <v>2175.8000000000002</v>
      </c>
      <c r="AM72" s="21">
        <f t="shared" si="23"/>
        <v>0</v>
      </c>
    </row>
    <row r="73" spans="1:39" x14ac:dyDescent="0.25">
      <c r="A73" s="18">
        <v>46222</v>
      </c>
      <c r="B73" s="2" t="s">
        <v>42</v>
      </c>
      <c r="C73" s="2" t="s">
        <v>153</v>
      </c>
      <c r="D73" s="19">
        <v>680</v>
      </c>
      <c r="E73" s="19">
        <v>782</v>
      </c>
      <c r="F73" s="21">
        <f t="shared" si="2"/>
        <v>102</v>
      </c>
      <c r="G73" s="21">
        <f t="shared" si="3"/>
        <v>102</v>
      </c>
      <c r="H73" s="21">
        <f t="shared" si="4"/>
        <v>782</v>
      </c>
      <c r="I73" s="5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>
        <v>782</v>
      </c>
      <c r="AL73" s="21">
        <f t="shared" si="22"/>
        <v>782</v>
      </c>
      <c r="AM73" s="21">
        <f t="shared" si="23"/>
        <v>0</v>
      </c>
    </row>
    <row r="74" spans="1:39" x14ac:dyDescent="0.25">
      <c r="A74" s="18">
        <v>46222</v>
      </c>
      <c r="B74" s="2" t="s">
        <v>154</v>
      </c>
      <c r="C74" s="2" t="s">
        <v>155</v>
      </c>
      <c r="D74" s="19">
        <v>1280</v>
      </c>
      <c r="E74" s="19">
        <v>1472</v>
      </c>
      <c r="F74" s="21">
        <f t="shared" si="2"/>
        <v>192</v>
      </c>
      <c r="G74" s="21">
        <f t="shared" si="3"/>
        <v>192</v>
      </c>
      <c r="H74" s="21">
        <f t="shared" si="4"/>
        <v>1472</v>
      </c>
      <c r="I74" s="5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>
        <v>1472</v>
      </c>
      <c r="AL74" s="21">
        <f t="shared" si="22"/>
        <v>1472</v>
      </c>
      <c r="AM74" s="21">
        <f t="shared" si="23"/>
        <v>0</v>
      </c>
    </row>
    <row r="75" spans="1:39" ht="14.25" customHeight="1" x14ac:dyDescent="0.25">
      <c r="A75" s="18">
        <v>46222</v>
      </c>
      <c r="B75" s="2" t="s">
        <v>180</v>
      </c>
      <c r="C75" s="2" t="s">
        <v>181</v>
      </c>
      <c r="D75" s="19">
        <v>770</v>
      </c>
      <c r="E75" s="19">
        <v>885</v>
      </c>
      <c r="F75" s="21">
        <f t="shared" ref="F75" si="33">+E75-D75</f>
        <v>115</v>
      </c>
      <c r="G75" s="21">
        <f t="shared" ref="G75" si="34">+D75*0.15</f>
        <v>115.5</v>
      </c>
      <c r="H75" s="21">
        <f t="shared" ref="H75" si="35">+D75+G75</f>
        <v>885.5</v>
      </c>
      <c r="I75" s="50">
        <v>885</v>
      </c>
      <c r="J75" s="19" t="s">
        <v>34</v>
      </c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1">
        <f t="shared" si="22"/>
        <v>885</v>
      </c>
      <c r="AM75" s="21">
        <f t="shared" si="23"/>
        <v>0</v>
      </c>
    </row>
    <row r="76" spans="1:39" x14ac:dyDescent="0.25">
      <c r="A76" s="18">
        <v>46222</v>
      </c>
      <c r="B76" s="2" t="s">
        <v>156</v>
      </c>
      <c r="C76" s="2" t="s">
        <v>157</v>
      </c>
      <c r="D76" s="19">
        <v>1700</v>
      </c>
      <c r="E76" s="19">
        <v>1950</v>
      </c>
      <c r="F76" s="21">
        <f t="shared" si="2"/>
        <v>250</v>
      </c>
      <c r="G76" s="21">
        <f t="shared" si="3"/>
        <v>255</v>
      </c>
      <c r="H76" s="21">
        <f t="shared" si="4"/>
        <v>1955</v>
      </c>
      <c r="I76" s="5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>
        <v>1950</v>
      </c>
      <c r="AL76" s="21">
        <f t="shared" si="22"/>
        <v>1950</v>
      </c>
      <c r="AM76" s="21">
        <f t="shared" si="23"/>
        <v>0</v>
      </c>
    </row>
    <row r="77" spans="1:39" x14ac:dyDescent="0.25">
      <c r="A77" s="18">
        <v>46222</v>
      </c>
      <c r="B77" s="2" t="s">
        <v>96</v>
      </c>
      <c r="C77" s="2" t="s">
        <v>186</v>
      </c>
      <c r="D77" s="19">
        <v>610</v>
      </c>
      <c r="E77" s="19">
        <v>701.5</v>
      </c>
      <c r="F77" s="21">
        <f t="shared" ref="F77" si="36">+E77-D77</f>
        <v>91.5</v>
      </c>
      <c r="G77" s="21">
        <f t="shared" ref="G77" si="37">+D77*0.15</f>
        <v>91.5</v>
      </c>
      <c r="H77" s="21">
        <f t="shared" ref="H77" si="38">+D77+G77</f>
        <v>701.5</v>
      </c>
      <c r="I77" s="50">
        <v>701.5</v>
      </c>
      <c r="J77" s="19" t="s">
        <v>34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1">
        <f t="shared" si="22"/>
        <v>701.5</v>
      </c>
      <c r="AM77" s="21">
        <f t="shared" si="23"/>
        <v>0</v>
      </c>
    </row>
    <row r="78" spans="1:39" x14ac:dyDescent="0.25">
      <c r="A78" s="18">
        <v>46222</v>
      </c>
      <c r="B78" s="2" t="s">
        <v>86</v>
      </c>
      <c r="C78" s="2" t="s">
        <v>184</v>
      </c>
      <c r="D78" s="19">
        <v>275</v>
      </c>
      <c r="E78" s="19">
        <v>350</v>
      </c>
      <c r="F78" s="21">
        <f t="shared" si="2"/>
        <v>75</v>
      </c>
      <c r="G78" s="21">
        <f t="shared" si="3"/>
        <v>41.25</v>
      </c>
      <c r="H78" s="21">
        <f t="shared" si="4"/>
        <v>316.25</v>
      </c>
      <c r="I78" s="50">
        <v>350</v>
      </c>
      <c r="J78" s="19" t="s">
        <v>34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1">
        <f t="shared" si="22"/>
        <v>350</v>
      </c>
      <c r="AM78" s="21">
        <f t="shared" si="23"/>
        <v>0</v>
      </c>
    </row>
    <row r="79" spans="1:39" x14ac:dyDescent="0.25">
      <c r="A79" s="18">
        <v>46222</v>
      </c>
      <c r="B79" s="2" t="s">
        <v>195</v>
      </c>
      <c r="C79" s="2" t="s">
        <v>196</v>
      </c>
      <c r="D79" s="19">
        <v>6240</v>
      </c>
      <c r="E79" s="19">
        <v>7488</v>
      </c>
      <c r="F79" s="21">
        <f t="shared" ref="F79" si="39">+E79-D79</f>
        <v>1248</v>
      </c>
      <c r="G79" s="21">
        <f t="shared" ref="G79" si="40">+D79*0.15</f>
        <v>936</v>
      </c>
      <c r="H79" s="21">
        <f t="shared" ref="H79" si="41">+D79+G79</f>
        <v>7176</v>
      </c>
      <c r="I79" s="50">
        <v>7488</v>
      </c>
      <c r="J79" s="19" t="s">
        <v>34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1">
        <f t="shared" si="22"/>
        <v>7488</v>
      </c>
      <c r="AM79" s="21">
        <f t="shared" si="23"/>
        <v>0</v>
      </c>
    </row>
    <row r="80" spans="1:39" x14ac:dyDescent="0.25">
      <c r="A80" s="18">
        <v>46222</v>
      </c>
      <c r="B80" s="2" t="s">
        <v>99</v>
      </c>
      <c r="C80" s="2" t="s">
        <v>185</v>
      </c>
      <c r="D80" s="19">
        <v>590</v>
      </c>
      <c r="E80" s="19">
        <v>708</v>
      </c>
      <c r="F80" s="21">
        <f t="shared" si="2"/>
        <v>118</v>
      </c>
      <c r="G80" s="21">
        <f t="shared" si="3"/>
        <v>88.5</v>
      </c>
      <c r="H80" s="21">
        <f t="shared" si="4"/>
        <v>678.5</v>
      </c>
      <c r="I80" s="50">
        <v>708</v>
      </c>
      <c r="J80" s="19" t="s">
        <v>34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1">
        <f t="shared" si="22"/>
        <v>708</v>
      </c>
      <c r="AM80" s="21">
        <f t="shared" si="23"/>
        <v>0</v>
      </c>
    </row>
    <row r="81" spans="1:39" x14ac:dyDescent="0.25">
      <c r="A81" s="18">
        <v>46222</v>
      </c>
      <c r="B81" s="2" t="s">
        <v>193</v>
      </c>
      <c r="C81" s="2" t="s">
        <v>194</v>
      </c>
      <c r="D81" s="19">
        <v>2240</v>
      </c>
      <c r="E81" s="19">
        <v>2576</v>
      </c>
      <c r="F81" s="21">
        <f t="shared" ref="F81" si="42">+E81-D81</f>
        <v>336</v>
      </c>
      <c r="G81" s="21">
        <f t="shared" ref="G81" si="43">+D81*0.15</f>
        <v>336</v>
      </c>
      <c r="H81" s="21">
        <f t="shared" ref="H81" si="44">+D81+G81</f>
        <v>2576</v>
      </c>
      <c r="I81" s="50">
        <v>2576</v>
      </c>
      <c r="J81" s="19" t="s">
        <v>34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21">
        <f t="shared" si="22"/>
        <v>2576</v>
      </c>
      <c r="AM81" s="21">
        <f t="shared" si="23"/>
        <v>0</v>
      </c>
    </row>
    <row r="82" spans="1:39" x14ac:dyDescent="0.25">
      <c r="A82" s="18">
        <v>46222</v>
      </c>
      <c r="B82" s="2" t="s">
        <v>191</v>
      </c>
      <c r="C82" s="2" t="s">
        <v>192</v>
      </c>
      <c r="D82" s="19">
        <v>2730</v>
      </c>
      <c r="E82" s="19">
        <v>3139.5</v>
      </c>
      <c r="F82" s="21">
        <f t="shared" ref="F82" si="45">+E82-D82</f>
        <v>409.5</v>
      </c>
      <c r="G82" s="21">
        <f t="shared" ref="G82" si="46">+D82*0.15</f>
        <v>409.5</v>
      </c>
      <c r="H82" s="21">
        <f t="shared" ref="H82" si="47">+D82+G82</f>
        <v>3139.5</v>
      </c>
      <c r="I82" s="19">
        <v>3139.5</v>
      </c>
      <c r="J82" s="19" t="s">
        <v>14</v>
      </c>
      <c r="K82" s="19" t="s">
        <v>34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21">
        <f t="shared" si="22"/>
        <v>3139.5</v>
      </c>
      <c r="AM82" s="21">
        <f t="shared" si="23"/>
        <v>0</v>
      </c>
    </row>
    <row r="83" spans="1:39" x14ac:dyDescent="0.25">
      <c r="A83" s="18">
        <v>46222</v>
      </c>
      <c r="B83" s="2" t="s">
        <v>189</v>
      </c>
      <c r="C83" s="2" t="s">
        <v>190</v>
      </c>
      <c r="D83" s="19">
        <v>1200</v>
      </c>
      <c r="E83" s="19">
        <v>1444</v>
      </c>
      <c r="F83" s="21">
        <f t="shared" si="2"/>
        <v>244</v>
      </c>
      <c r="G83" s="21">
        <f t="shared" si="3"/>
        <v>180</v>
      </c>
      <c r="H83" s="21">
        <f t="shared" si="4"/>
        <v>1380</v>
      </c>
      <c r="I83" s="19">
        <v>1444</v>
      </c>
      <c r="J83" s="19" t="s">
        <v>34</v>
      </c>
      <c r="K83" s="19"/>
      <c r="L83" s="19"/>
      <c r="M83" s="19">
        <v>0</v>
      </c>
      <c r="N83" s="19" t="s">
        <v>34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1">
        <f t="shared" si="22"/>
        <v>1444</v>
      </c>
      <c r="AM83" s="21">
        <f t="shared" si="23"/>
        <v>0</v>
      </c>
    </row>
    <row r="84" spans="1:39" x14ac:dyDescent="0.25">
      <c r="A84" s="18">
        <v>46222</v>
      </c>
      <c r="B84" s="2" t="s">
        <v>124</v>
      </c>
      <c r="C84" s="2" t="s">
        <v>188</v>
      </c>
      <c r="D84" s="19">
        <v>2200</v>
      </c>
      <c r="E84" s="19">
        <v>2640</v>
      </c>
      <c r="F84" s="21">
        <f t="shared" ref="F84:F85" si="48">+E84-D84</f>
        <v>440</v>
      </c>
      <c r="G84" s="21">
        <f t="shared" ref="G84:G85" si="49">+D84*0.15</f>
        <v>330</v>
      </c>
      <c r="H84" s="21">
        <f t="shared" ref="H84:H85" si="50">+D84+G84</f>
        <v>2530</v>
      </c>
      <c r="I84" s="19">
        <v>1640</v>
      </c>
      <c r="J84" s="19" t="s">
        <v>34</v>
      </c>
      <c r="K84" s="19"/>
      <c r="L84" s="19"/>
      <c r="M84" s="19">
        <v>1000</v>
      </c>
      <c r="N84" s="19" t="s">
        <v>34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21">
        <f t="shared" si="22"/>
        <v>2640</v>
      </c>
      <c r="AM84" s="21">
        <f t="shared" si="23"/>
        <v>0</v>
      </c>
    </row>
    <row r="85" spans="1:39" ht="14.25" customHeight="1" x14ac:dyDescent="0.25">
      <c r="A85" s="18">
        <v>46222</v>
      </c>
      <c r="B85" s="2" t="s">
        <v>126</v>
      </c>
      <c r="C85" s="2" t="s">
        <v>197</v>
      </c>
      <c r="D85" s="19">
        <v>1200</v>
      </c>
      <c r="E85" s="19">
        <v>1380</v>
      </c>
      <c r="F85" s="21">
        <f t="shared" si="48"/>
        <v>180</v>
      </c>
      <c r="G85" s="21">
        <f t="shared" si="49"/>
        <v>180</v>
      </c>
      <c r="H85" s="21">
        <f t="shared" si="50"/>
        <v>1380</v>
      </c>
      <c r="I85" s="19">
        <v>1380</v>
      </c>
      <c r="J85" s="19" t="s">
        <v>34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1">
        <f t="shared" si="22"/>
        <v>1380</v>
      </c>
      <c r="AM85" s="21">
        <f t="shared" si="23"/>
        <v>0</v>
      </c>
    </row>
    <row r="86" spans="1:39" ht="14.25" customHeight="1" x14ac:dyDescent="0.25">
      <c r="A86" s="18">
        <v>46222</v>
      </c>
      <c r="B86" s="2" t="s">
        <v>126</v>
      </c>
      <c r="C86" s="2" t="s">
        <v>198</v>
      </c>
      <c r="D86" s="19">
        <v>2280</v>
      </c>
      <c r="E86" s="19">
        <v>2622</v>
      </c>
      <c r="F86" s="21">
        <f t="shared" ref="F86" si="51">+E86-D86</f>
        <v>342</v>
      </c>
      <c r="G86" s="21">
        <f t="shared" ref="G86" si="52">+D86*0.15</f>
        <v>342</v>
      </c>
      <c r="H86" s="21">
        <f t="shared" ref="H86" si="53">+D86+G86</f>
        <v>2622</v>
      </c>
      <c r="I86" s="19">
        <v>2622</v>
      </c>
      <c r="J86" s="19" t="s">
        <v>34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21">
        <f t="shared" si="22"/>
        <v>2622</v>
      </c>
      <c r="AM86" s="21">
        <f t="shared" si="23"/>
        <v>0</v>
      </c>
    </row>
    <row r="87" spans="1:39" ht="14.25" customHeight="1" x14ac:dyDescent="0.25">
      <c r="A87" s="18">
        <v>46222</v>
      </c>
      <c r="B87" s="2" t="s">
        <v>158</v>
      </c>
      <c r="C87" s="2" t="s">
        <v>159</v>
      </c>
      <c r="D87" s="19">
        <v>1360</v>
      </c>
      <c r="E87" s="19">
        <v>1564</v>
      </c>
      <c r="F87" s="21">
        <f t="shared" si="2"/>
        <v>204</v>
      </c>
      <c r="G87" s="21">
        <f t="shared" si="3"/>
        <v>204</v>
      </c>
      <c r="H87" s="21">
        <f t="shared" si="4"/>
        <v>1564</v>
      </c>
      <c r="I87" s="19">
        <v>1564</v>
      </c>
      <c r="J87" s="19" t="s">
        <v>34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21">
        <f t="shared" si="22"/>
        <v>1564</v>
      </c>
      <c r="AM87" s="21">
        <f t="shared" si="23"/>
        <v>0</v>
      </c>
    </row>
    <row r="88" spans="1:39" x14ac:dyDescent="0.25">
      <c r="A88" s="18">
        <v>46222</v>
      </c>
      <c r="B88" s="2" t="s">
        <v>160</v>
      </c>
      <c r="C88" s="2" t="s">
        <v>161</v>
      </c>
      <c r="D88" s="19">
        <v>1615</v>
      </c>
      <c r="E88" s="19">
        <v>1857.25</v>
      </c>
      <c r="F88" s="21">
        <f t="shared" si="2"/>
        <v>242.25</v>
      </c>
      <c r="G88" s="21">
        <f t="shared" si="3"/>
        <v>242.25</v>
      </c>
      <c r="H88" s="21">
        <f t="shared" si="4"/>
        <v>1857.25</v>
      </c>
      <c r="I88" s="19">
        <v>1857</v>
      </c>
      <c r="J88" s="19" t="s">
        <v>34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21">
        <f t="shared" si="22"/>
        <v>1857</v>
      </c>
      <c r="AM88" s="21">
        <f t="shared" si="23"/>
        <v>-0.25</v>
      </c>
    </row>
    <row r="89" spans="1:39" x14ac:dyDescent="0.25">
      <c r="A89" s="18">
        <v>46222</v>
      </c>
      <c r="B89" s="2" t="s">
        <v>162</v>
      </c>
      <c r="C89" s="2" t="s">
        <v>163</v>
      </c>
      <c r="D89" s="19">
        <v>1280</v>
      </c>
      <c r="E89" s="19">
        <v>1472</v>
      </c>
      <c r="F89" s="21">
        <f t="shared" si="2"/>
        <v>192</v>
      </c>
      <c r="G89" s="21">
        <f t="shared" si="3"/>
        <v>192</v>
      </c>
      <c r="H89" s="21">
        <f t="shared" si="4"/>
        <v>1472</v>
      </c>
      <c r="I89" s="19">
        <v>1472</v>
      </c>
      <c r="J89" s="19" t="s">
        <v>34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1">
        <f t="shared" si="22"/>
        <v>1472</v>
      </c>
      <c r="AM89" s="21">
        <f t="shared" si="23"/>
        <v>0</v>
      </c>
    </row>
    <row r="90" spans="1:39" x14ac:dyDescent="0.25">
      <c r="A90" s="18">
        <v>46222</v>
      </c>
      <c r="B90" s="2" t="s">
        <v>164</v>
      </c>
      <c r="C90" s="2" t="s">
        <v>165</v>
      </c>
      <c r="D90" s="19">
        <v>990</v>
      </c>
      <c r="E90" s="19">
        <v>1138.5</v>
      </c>
      <c r="F90" s="21">
        <f t="shared" si="2"/>
        <v>148.5</v>
      </c>
      <c r="G90" s="21">
        <f t="shared" si="3"/>
        <v>148.5</v>
      </c>
      <c r="H90" s="21">
        <f t="shared" si="4"/>
        <v>1138.5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>
        <v>1138.5</v>
      </c>
      <c r="AL90" s="21">
        <f t="shared" si="22"/>
        <v>1138.5</v>
      </c>
      <c r="AM90" s="21">
        <f t="shared" si="23"/>
        <v>0</v>
      </c>
    </row>
    <row r="91" spans="1:39" x14ac:dyDescent="0.25">
      <c r="A91" s="18">
        <v>46222</v>
      </c>
      <c r="B91" s="2" t="s">
        <v>166</v>
      </c>
      <c r="C91" s="2" t="s">
        <v>167</v>
      </c>
      <c r="D91" s="19">
        <v>1790</v>
      </c>
      <c r="E91" s="19">
        <v>2058.5</v>
      </c>
      <c r="F91" s="21">
        <f t="shared" si="2"/>
        <v>268.5</v>
      </c>
      <c r="G91" s="21">
        <f t="shared" si="3"/>
        <v>268.5</v>
      </c>
      <c r="H91" s="21">
        <f t="shared" si="4"/>
        <v>2058.5</v>
      </c>
      <c r="I91" s="19">
        <v>1000</v>
      </c>
      <c r="J91" s="19"/>
      <c r="K91" s="19" t="s">
        <v>34</v>
      </c>
      <c r="L91" s="19"/>
      <c r="M91" s="19">
        <v>250</v>
      </c>
      <c r="N91" s="19"/>
      <c r="O91" s="19" t="s">
        <v>34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>
        <v>808.5</v>
      </c>
      <c r="AL91" s="21">
        <f t="shared" si="22"/>
        <v>2058.5</v>
      </c>
      <c r="AM91" s="21">
        <f t="shared" si="23"/>
        <v>0</v>
      </c>
    </row>
    <row r="92" spans="1:39" x14ac:dyDescent="0.25">
      <c r="A92" s="18">
        <v>46222</v>
      </c>
      <c r="B92" s="2" t="s">
        <v>168</v>
      </c>
      <c r="C92" s="2" t="s">
        <v>169</v>
      </c>
      <c r="D92" s="19">
        <v>4855</v>
      </c>
      <c r="E92" s="19">
        <v>5583</v>
      </c>
      <c r="F92" s="21">
        <f t="shared" si="2"/>
        <v>728</v>
      </c>
      <c r="G92" s="21">
        <f t="shared" si="3"/>
        <v>728.25</v>
      </c>
      <c r="H92" s="21">
        <f t="shared" si="4"/>
        <v>5583.25</v>
      </c>
      <c r="I92" s="19">
        <v>5583</v>
      </c>
      <c r="J92" s="19" t="s">
        <v>34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21">
        <f t="shared" si="22"/>
        <v>5583</v>
      </c>
      <c r="AM92" s="21">
        <f t="shared" si="23"/>
        <v>0</v>
      </c>
    </row>
    <row r="93" spans="1:39" x14ac:dyDescent="0.25">
      <c r="A93" s="18">
        <v>46222</v>
      </c>
      <c r="B93" s="2" t="s">
        <v>170</v>
      </c>
      <c r="C93" s="2" t="s">
        <v>171</v>
      </c>
      <c r="D93" s="19">
        <v>1200</v>
      </c>
      <c r="E93" s="19">
        <v>1200</v>
      </c>
      <c r="F93" s="21">
        <f t="shared" si="2"/>
        <v>0</v>
      </c>
      <c r="G93" s="21">
        <f t="shared" si="3"/>
        <v>180</v>
      </c>
      <c r="H93" s="21">
        <f t="shared" si="4"/>
        <v>1380</v>
      </c>
      <c r="I93" s="19">
        <v>1200</v>
      </c>
      <c r="J93" s="19" t="s">
        <v>34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21">
        <f t="shared" si="22"/>
        <v>1200</v>
      </c>
      <c r="AM93" s="21">
        <f t="shared" si="23"/>
        <v>0</v>
      </c>
    </row>
    <row r="94" spans="1:39" x14ac:dyDescent="0.25">
      <c r="A94" s="18">
        <v>46222</v>
      </c>
      <c r="B94" s="2" t="s">
        <v>106</v>
      </c>
      <c r="C94" s="2" t="s">
        <v>172</v>
      </c>
      <c r="D94" s="19">
        <v>2800</v>
      </c>
      <c r="E94" s="19">
        <v>3320</v>
      </c>
      <c r="F94" s="21">
        <f t="shared" si="2"/>
        <v>520</v>
      </c>
      <c r="G94" s="21">
        <f t="shared" si="3"/>
        <v>420</v>
      </c>
      <c r="H94" s="21">
        <f t="shared" si="4"/>
        <v>3220</v>
      </c>
      <c r="I94" s="19">
        <v>3320</v>
      </c>
      <c r="J94" s="19" t="s">
        <v>34</v>
      </c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21">
        <f t="shared" si="22"/>
        <v>3320</v>
      </c>
      <c r="AM94" s="21">
        <f t="shared" si="23"/>
        <v>0</v>
      </c>
    </row>
    <row r="95" spans="1:39" ht="15.75" thickBot="1" x14ac:dyDescent="0.3">
      <c r="A95" s="18">
        <v>46222</v>
      </c>
      <c r="B95" s="2" t="s">
        <v>108</v>
      </c>
      <c r="C95" s="2" t="s">
        <v>173</v>
      </c>
      <c r="D95" s="19">
        <v>2255</v>
      </c>
      <c r="E95" s="19">
        <v>2640</v>
      </c>
      <c r="F95" s="21">
        <f t="shared" si="2"/>
        <v>385</v>
      </c>
      <c r="G95" s="21">
        <f t="shared" si="3"/>
        <v>338.25</v>
      </c>
      <c r="H95" s="21">
        <f t="shared" si="4"/>
        <v>2593.25</v>
      </c>
      <c r="I95" s="19">
        <v>2640</v>
      </c>
      <c r="J95" s="19" t="s">
        <v>34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21">
        <f t="shared" si="22"/>
        <v>2640</v>
      </c>
      <c r="AM95" s="21">
        <f t="shared" si="23"/>
        <v>0</v>
      </c>
    </row>
    <row r="96" spans="1:39" s="48" customFormat="1" ht="19.5" thickBot="1" x14ac:dyDescent="0.35">
      <c r="A96" s="67" t="s">
        <v>25</v>
      </c>
      <c r="B96" s="68"/>
      <c r="C96" s="69"/>
      <c r="D96" s="46">
        <f>SUM(D62:D95)</f>
        <v>49205</v>
      </c>
      <c r="E96" s="46">
        <f t="shared" ref="E96:I96" si="54">SUM(E62:E95)</f>
        <v>57148.800000000003</v>
      </c>
      <c r="F96" s="46">
        <f t="shared" si="54"/>
        <v>7943.8</v>
      </c>
      <c r="G96" s="46">
        <f t="shared" si="54"/>
        <v>7380.75</v>
      </c>
      <c r="H96" s="46">
        <f t="shared" si="54"/>
        <v>56585.75</v>
      </c>
      <c r="I96" s="46">
        <f t="shared" si="54"/>
        <v>48741.8</v>
      </c>
      <c r="J96" s="46"/>
      <c r="K96" s="46"/>
      <c r="L96" s="46"/>
      <c r="M96" s="46">
        <f t="shared" ref="M96" si="55">SUM(M62:M95)</f>
        <v>1250</v>
      </c>
      <c r="N96" s="46"/>
      <c r="O96" s="46"/>
      <c r="P96" s="46"/>
      <c r="Q96" s="46">
        <f t="shared" ref="Q96" si="56">SUM(Q62:Q95)</f>
        <v>0</v>
      </c>
      <c r="R96" s="46"/>
      <c r="S96" s="46"/>
      <c r="T96" s="46"/>
      <c r="U96" s="46">
        <f t="shared" ref="U96" si="57">SUM(U62:U95)</f>
        <v>0</v>
      </c>
      <c r="V96" s="46"/>
      <c r="W96" s="46"/>
      <c r="X96" s="46"/>
      <c r="Y96" s="46">
        <f t="shared" ref="Y96" si="58">SUM(Y62:Y95)</f>
        <v>0</v>
      </c>
      <c r="Z96" s="46"/>
      <c r="AA96" s="46"/>
      <c r="AB96" s="46"/>
      <c r="AC96" s="46">
        <f t="shared" ref="AC96" si="59">SUM(AC62:AC95)</f>
        <v>0</v>
      </c>
      <c r="AD96" s="46"/>
      <c r="AE96" s="46"/>
      <c r="AF96" s="46"/>
      <c r="AG96" s="46">
        <f t="shared" ref="AG96" si="60">SUM(AG62:AG95)</f>
        <v>0</v>
      </c>
      <c r="AH96" s="46"/>
      <c r="AI96" s="46"/>
      <c r="AJ96" s="46"/>
      <c r="AK96" s="46">
        <f t="shared" ref="AK96:AL96" si="61">SUM(AK62:AK95)</f>
        <v>7156.75</v>
      </c>
      <c r="AL96" s="46">
        <f t="shared" si="61"/>
        <v>57148.55</v>
      </c>
      <c r="AM96" s="47">
        <f>SUM(AM5:AM95)</f>
        <v>-0.72999999999956344</v>
      </c>
    </row>
    <row r="98" spans="5:37" x14ac:dyDescent="0.25">
      <c r="E98" s="20">
        <f>+E25+E61+E96</f>
        <v>156503.77000000002</v>
      </c>
      <c r="AK98" s="20">
        <f>+AK25+AK61+AK96</f>
        <v>57789.599999999999</v>
      </c>
    </row>
  </sheetData>
  <autoFilter ref="A4:AQ25" xr:uid="{0BE60F28-36A2-4D09-B13D-839310509796}"/>
  <mergeCells count="5">
    <mergeCell ref="M3:AK3"/>
    <mergeCell ref="A1:AL1"/>
    <mergeCell ref="A25:C25"/>
    <mergeCell ref="A61:C61"/>
    <mergeCell ref="A96:C96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A340-F970-4EEB-9745-E5C0C75A9EE6}">
  <sheetPr>
    <tabColor theme="3" tint="0.249977111117893"/>
  </sheetPr>
  <dimension ref="A1:E19"/>
  <sheetViews>
    <sheetView topLeftCell="A3" workbookViewId="0">
      <selection activeCell="C11" sqref="C11"/>
    </sheetView>
  </sheetViews>
  <sheetFormatPr baseColWidth="10" defaultRowHeight="15" x14ac:dyDescent="0.25"/>
  <cols>
    <col min="2" max="2" width="43.85546875" customWidth="1"/>
  </cols>
  <sheetData>
    <row r="1" spans="1:5" x14ac:dyDescent="0.25">
      <c r="B1" t="s">
        <v>14</v>
      </c>
    </row>
    <row r="3" spans="1:5" ht="15.75" thickBot="1" x14ac:dyDescent="0.3"/>
    <row r="4" spans="1:5" ht="21.75" thickBot="1" x14ac:dyDescent="0.4">
      <c r="A4" s="7" t="s">
        <v>0</v>
      </c>
      <c r="B4" s="8" t="s">
        <v>24</v>
      </c>
      <c r="C4" s="8" t="s">
        <v>26</v>
      </c>
      <c r="D4" s="8" t="s">
        <v>27</v>
      </c>
      <c r="E4" s="9" t="s">
        <v>28</v>
      </c>
    </row>
    <row r="5" spans="1:5" x14ac:dyDescent="0.25">
      <c r="A5" s="25">
        <v>46220</v>
      </c>
      <c r="B5" s="10" t="s">
        <v>29</v>
      </c>
      <c r="C5" s="26"/>
      <c r="D5" s="26">
        <v>22890.58</v>
      </c>
      <c r="E5" s="26">
        <f>D5</f>
        <v>22890.58</v>
      </c>
    </row>
    <row r="6" spans="1:5" x14ac:dyDescent="0.25">
      <c r="A6" s="13">
        <v>46220</v>
      </c>
      <c r="B6" s="2" t="s">
        <v>30</v>
      </c>
      <c r="C6" s="19">
        <v>6000</v>
      </c>
      <c r="D6" s="19"/>
      <c r="E6" s="19">
        <f>+E5-C6+D6</f>
        <v>16890.580000000002</v>
      </c>
    </row>
    <row r="7" spans="1:5" x14ac:dyDescent="0.25">
      <c r="A7" s="13">
        <v>46220</v>
      </c>
      <c r="B7" s="2" t="s">
        <v>31</v>
      </c>
      <c r="C7" s="19">
        <v>4536.51</v>
      </c>
      <c r="D7" s="19"/>
      <c r="E7" s="19">
        <f t="shared" ref="E7:E19" si="0">+E6-C7+D7</f>
        <v>12354.070000000002</v>
      </c>
    </row>
    <row r="8" spans="1:5" x14ac:dyDescent="0.25">
      <c r="A8" s="13">
        <v>46221</v>
      </c>
      <c r="B8" s="2" t="s">
        <v>201</v>
      </c>
      <c r="C8" s="19"/>
      <c r="D8" s="19">
        <v>24392.75</v>
      </c>
      <c r="E8" s="19">
        <f t="shared" si="0"/>
        <v>36746.82</v>
      </c>
    </row>
    <row r="9" spans="1:5" x14ac:dyDescent="0.25">
      <c r="A9" s="13">
        <v>46221</v>
      </c>
      <c r="B9" s="2" t="s">
        <v>31</v>
      </c>
      <c r="C9" s="19">
        <v>8108.02</v>
      </c>
      <c r="D9" s="19"/>
      <c r="E9" s="19">
        <f t="shared" si="0"/>
        <v>28638.799999999999</v>
      </c>
    </row>
    <row r="10" spans="1:5" x14ac:dyDescent="0.25">
      <c r="A10" s="13">
        <v>46222</v>
      </c>
      <c r="B10" s="2" t="s">
        <v>201</v>
      </c>
      <c r="C10" s="19">
        <v>0</v>
      </c>
      <c r="D10" s="19">
        <v>7156.75</v>
      </c>
      <c r="E10" s="19">
        <f t="shared" si="0"/>
        <v>35795.550000000003</v>
      </c>
    </row>
    <row r="11" spans="1:5" x14ac:dyDescent="0.25">
      <c r="A11" s="13">
        <v>46222</v>
      </c>
      <c r="B11" s="2" t="s">
        <v>31</v>
      </c>
      <c r="C11" s="19">
        <v>7601.2</v>
      </c>
      <c r="D11" s="19"/>
      <c r="E11" s="19">
        <f t="shared" si="0"/>
        <v>28194.350000000002</v>
      </c>
    </row>
    <row r="12" spans="1:5" x14ac:dyDescent="0.25">
      <c r="A12" s="2"/>
      <c r="B12" s="2"/>
      <c r="C12" s="19"/>
      <c r="D12" s="19"/>
      <c r="E12" s="19">
        <f t="shared" si="0"/>
        <v>28194.350000000002</v>
      </c>
    </row>
    <row r="13" spans="1:5" x14ac:dyDescent="0.25">
      <c r="A13" s="2"/>
      <c r="B13" s="2"/>
      <c r="C13" s="19"/>
      <c r="D13" s="19"/>
      <c r="E13" s="19">
        <f t="shared" si="0"/>
        <v>28194.350000000002</v>
      </c>
    </row>
    <row r="14" spans="1:5" x14ac:dyDescent="0.25">
      <c r="A14" s="2"/>
      <c r="B14" s="2"/>
      <c r="C14" s="19"/>
      <c r="D14" s="19"/>
      <c r="E14" s="19">
        <f t="shared" si="0"/>
        <v>28194.350000000002</v>
      </c>
    </row>
    <row r="15" spans="1:5" x14ac:dyDescent="0.25">
      <c r="A15" s="2"/>
      <c r="B15" s="2"/>
      <c r="C15" s="19"/>
      <c r="D15" s="19"/>
      <c r="E15" s="19">
        <f t="shared" si="0"/>
        <v>28194.350000000002</v>
      </c>
    </row>
    <row r="16" spans="1:5" x14ac:dyDescent="0.25">
      <c r="A16" s="2"/>
      <c r="B16" s="2"/>
      <c r="C16" s="19"/>
      <c r="D16" s="19"/>
      <c r="E16" s="19">
        <f t="shared" si="0"/>
        <v>28194.350000000002</v>
      </c>
    </row>
    <row r="17" spans="1:5" x14ac:dyDescent="0.25">
      <c r="A17" s="2"/>
      <c r="B17" s="2"/>
      <c r="C17" s="19"/>
      <c r="D17" s="19"/>
      <c r="E17" s="19">
        <f t="shared" si="0"/>
        <v>28194.350000000002</v>
      </c>
    </row>
    <row r="18" spans="1:5" x14ac:dyDescent="0.25">
      <c r="A18" s="2"/>
      <c r="B18" s="2"/>
      <c r="C18" s="19"/>
      <c r="D18" s="19"/>
      <c r="E18" s="19">
        <f t="shared" si="0"/>
        <v>28194.350000000002</v>
      </c>
    </row>
    <row r="19" spans="1:5" x14ac:dyDescent="0.25">
      <c r="A19" s="2"/>
      <c r="B19" s="2"/>
      <c r="C19" s="19"/>
      <c r="D19" s="19"/>
      <c r="E19" s="19">
        <f t="shared" si="0"/>
        <v>28194.350000000002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B6A0-DCB4-4BC2-BDFC-FC5EDAC726FA}">
  <sheetPr>
    <tabColor theme="3" tint="0.249977111117893"/>
  </sheetPr>
  <dimension ref="A2:G11"/>
  <sheetViews>
    <sheetView workbookViewId="0">
      <selection activeCell="J10" sqref="J10"/>
    </sheetView>
  </sheetViews>
  <sheetFormatPr baseColWidth="10" defaultRowHeight="15" x14ac:dyDescent="0.25"/>
  <cols>
    <col min="1" max="1" width="24.42578125" customWidth="1"/>
    <col min="3" max="5" width="6" bestFit="1" customWidth="1"/>
    <col min="6" max="6" width="13.42578125" bestFit="1" customWidth="1"/>
  </cols>
  <sheetData>
    <row r="2" spans="1:7" x14ac:dyDescent="0.25">
      <c r="A2" t="s">
        <v>20</v>
      </c>
    </row>
    <row r="4" spans="1:7" x14ac:dyDescent="0.25">
      <c r="A4" t="s">
        <v>21</v>
      </c>
      <c r="B4" t="s">
        <v>22</v>
      </c>
      <c r="C4" s="4">
        <v>46219</v>
      </c>
      <c r="D4" s="4">
        <v>46220</v>
      </c>
      <c r="E4" s="4">
        <v>46221</v>
      </c>
      <c r="F4" t="s">
        <v>23</v>
      </c>
      <c r="G4" t="s">
        <v>35</v>
      </c>
    </row>
    <row r="5" spans="1:7" x14ac:dyDescent="0.25">
      <c r="A5" t="s">
        <v>36</v>
      </c>
      <c r="B5" s="1">
        <v>3</v>
      </c>
      <c r="C5" s="1" t="s">
        <v>34</v>
      </c>
      <c r="D5" s="1" t="s">
        <v>34</v>
      </c>
      <c r="E5" s="1" t="s">
        <v>34</v>
      </c>
      <c r="F5" s="1">
        <v>100</v>
      </c>
      <c r="G5" s="1">
        <f>700*B5</f>
        <v>2100</v>
      </c>
    </row>
    <row r="11" spans="1:7" x14ac:dyDescent="0.25">
      <c r="F11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26A2-A572-457E-ABA9-4B5CDA18F9D4}">
  <sheetPr>
    <tabColor theme="5" tint="-0.499984740745262"/>
  </sheetPr>
  <dimension ref="A1:AQ98"/>
  <sheetViews>
    <sheetView workbookViewId="0">
      <selection activeCell="A2" sqref="A2"/>
    </sheetView>
  </sheetViews>
  <sheetFormatPr baseColWidth="10" defaultRowHeight="15" x14ac:dyDescent="0.25"/>
  <cols>
    <col min="1" max="1" width="11.140625" style="14" bestFit="1" customWidth="1"/>
    <col min="2" max="2" width="11.140625" style="52" customWidth="1"/>
    <col min="3" max="3" width="12" bestFit="1" customWidth="1"/>
    <col min="4" max="5" width="14.42578125" style="20" bestFit="1" customWidth="1"/>
    <col min="6" max="6" width="15.85546875" style="20" bestFit="1" customWidth="1"/>
    <col min="7" max="7" width="19.7109375" style="20" hidden="1" customWidth="1"/>
    <col min="8" max="8" width="18.42578125" style="20" hidden="1" customWidth="1"/>
    <col min="9" max="9" width="14.28515625" style="20" bestFit="1" customWidth="1"/>
    <col min="10" max="10" width="3.140625" style="20" customWidth="1"/>
    <col min="11" max="11" width="2.5703125" style="20" customWidth="1"/>
    <col min="12" max="12" width="2.140625" style="20" bestFit="1" customWidth="1"/>
    <col min="13" max="13" width="14.28515625" style="20" bestFit="1" customWidth="1"/>
    <col min="14" max="14" width="2.140625" style="20" bestFit="1" customWidth="1"/>
    <col min="15" max="15" width="2.5703125" style="20" bestFit="1" customWidth="1"/>
    <col min="16" max="16" width="2.140625" style="20" bestFit="1" customWidth="1"/>
    <col min="17" max="17" width="14.28515625" style="20" bestFit="1" customWidth="1"/>
    <col min="18" max="18" width="2.140625" style="20" bestFit="1" customWidth="1"/>
    <col min="19" max="19" width="2.5703125" style="20" bestFit="1" customWidth="1"/>
    <col min="20" max="20" width="2.140625" style="20" bestFit="1" customWidth="1"/>
    <col min="21" max="21" width="14.28515625" style="20" bestFit="1" customWidth="1"/>
    <col min="22" max="22" width="2.140625" style="20" bestFit="1" customWidth="1"/>
    <col min="23" max="23" width="2.5703125" style="20" bestFit="1" customWidth="1"/>
    <col min="24" max="24" width="2.140625" style="20" bestFit="1" customWidth="1"/>
    <col min="25" max="25" width="14.28515625" style="20" bestFit="1" customWidth="1"/>
    <col min="26" max="28" width="2.140625" style="20" customWidth="1"/>
    <col min="29" max="29" width="14.28515625" style="20" bestFit="1" customWidth="1"/>
    <col min="30" max="32" width="2.140625" style="20" customWidth="1"/>
    <col min="33" max="33" width="14.28515625" style="20" bestFit="1" customWidth="1"/>
    <col min="34" max="36" width="2.140625" style="20" customWidth="1"/>
    <col min="37" max="37" width="14.85546875" style="20" bestFit="1" customWidth="1"/>
    <col min="38" max="38" width="14.5703125" style="20" bestFit="1" customWidth="1"/>
    <col min="39" max="39" width="10" style="20" customWidth="1"/>
  </cols>
  <sheetData>
    <row r="1" spans="1:43" ht="22.5" thickTop="1" thickBot="1" x14ac:dyDescent="0.4">
      <c r="A1" s="62" t="s">
        <v>205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4"/>
    </row>
    <row r="2" spans="1:43" ht="16.5" thickTop="1" thickBot="1" x14ac:dyDescent="0.3"/>
    <row r="3" spans="1:43" s="1" customFormat="1" ht="15.75" thickTop="1" x14ac:dyDescent="0.25">
      <c r="A3" s="15"/>
      <c r="B3" s="53"/>
      <c r="C3" s="5"/>
      <c r="D3" s="27"/>
      <c r="E3" s="27" t="s">
        <v>2</v>
      </c>
      <c r="F3" s="27"/>
      <c r="G3" s="28" t="s">
        <v>4</v>
      </c>
      <c r="H3" s="29" t="s">
        <v>32</v>
      </c>
      <c r="I3" s="30"/>
      <c r="J3" s="31"/>
      <c r="K3" s="31"/>
      <c r="L3" s="31"/>
      <c r="M3" s="65" t="s">
        <v>12</v>
      </c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6"/>
      <c r="AL3" s="32"/>
      <c r="AM3" s="33"/>
    </row>
    <row r="4" spans="1:43" s="1" customFormat="1" ht="26.25" customHeight="1" thickBot="1" x14ac:dyDescent="0.3">
      <c r="A4" s="16" t="s">
        <v>0</v>
      </c>
      <c r="B4" s="54" t="s">
        <v>37</v>
      </c>
      <c r="C4" s="6" t="s">
        <v>1</v>
      </c>
      <c r="D4" s="34" t="s">
        <v>2</v>
      </c>
      <c r="E4" s="34" t="s">
        <v>3</v>
      </c>
      <c r="F4" s="34" t="s">
        <v>5</v>
      </c>
      <c r="G4" s="35" t="s">
        <v>6</v>
      </c>
      <c r="H4" s="36" t="s">
        <v>33</v>
      </c>
      <c r="I4" s="37" t="s">
        <v>7</v>
      </c>
      <c r="J4" s="38" t="s">
        <v>16</v>
      </c>
      <c r="K4" s="38" t="s">
        <v>17</v>
      </c>
      <c r="L4" s="38" t="s">
        <v>18</v>
      </c>
      <c r="M4" s="39" t="s">
        <v>8</v>
      </c>
      <c r="N4" s="38" t="s">
        <v>16</v>
      </c>
      <c r="O4" s="38" t="s">
        <v>17</v>
      </c>
      <c r="P4" s="38" t="s">
        <v>18</v>
      </c>
      <c r="Q4" s="39" t="s">
        <v>9</v>
      </c>
      <c r="R4" s="38" t="s">
        <v>16</v>
      </c>
      <c r="S4" s="38" t="s">
        <v>17</v>
      </c>
      <c r="T4" s="38" t="s">
        <v>18</v>
      </c>
      <c r="U4" s="39" t="s">
        <v>10</v>
      </c>
      <c r="V4" s="38" t="s">
        <v>16</v>
      </c>
      <c r="W4" s="38" t="s">
        <v>17</v>
      </c>
      <c r="X4" s="38" t="s">
        <v>18</v>
      </c>
      <c r="Y4" s="39" t="s">
        <v>19</v>
      </c>
      <c r="Z4" s="38" t="s">
        <v>16</v>
      </c>
      <c r="AA4" s="38" t="s">
        <v>17</v>
      </c>
      <c r="AB4" s="38" t="s">
        <v>18</v>
      </c>
      <c r="AC4" s="39" t="s">
        <v>19</v>
      </c>
      <c r="AD4" s="38" t="s">
        <v>16</v>
      </c>
      <c r="AE4" s="38" t="s">
        <v>17</v>
      </c>
      <c r="AF4" s="38" t="s">
        <v>18</v>
      </c>
      <c r="AG4" s="39" t="s">
        <v>19</v>
      </c>
      <c r="AH4" s="38" t="s">
        <v>16</v>
      </c>
      <c r="AI4" s="38" t="s">
        <v>17</v>
      </c>
      <c r="AJ4" s="38" t="s">
        <v>18</v>
      </c>
      <c r="AK4" s="40" t="s">
        <v>11</v>
      </c>
      <c r="AL4" s="41" t="s">
        <v>13</v>
      </c>
      <c r="AM4" s="42" t="s">
        <v>5</v>
      </c>
    </row>
    <row r="5" spans="1:43" ht="15.75" thickTop="1" x14ac:dyDescent="0.25">
      <c r="A5" s="17"/>
      <c r="B5" s="55"/>
      <c r="C5" s="3"/>
      <c r="D5" s="21"/>
      <c r="E5" s="21"/>
      <c r="F5" s="21">
        <f>+E5-D5</f>
        <v>0</v>
      </c>
      <c r="G5" s="21">
        <f>+D5*0.15</f>
        <v>0</v>
      </c>
      <c r="H5" s="21">
        <f>+D5+G5</f>
        <v>0</v>
      </c>
      <c r="I5" s="4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>
        <f>SUM(I5:AK5)</f>
        <v>0</v>
      </c>
      <c r="AM5" s="21">
        <f t="shared" ref="AM5:AM24" si="0">+AL5-E5</f>
        <v>0</v>
      </c>
      <c r="AN5" t="s">
        <v>14</v>
      </c>
      <c r="AO5" t="s">
        <v>14</v>
      </c>
      <c r="AP5" t="s">
        <v>14</v>
      </c>
      <c r="AQ5" t="s">
        <v>14</v>
      </c>
    </row>
    <row r="6" spans="1:43" x14ac:dyDescent="0.25">
      <c r="A6" s="17"/>
      <c r="B6" s="55"/>
      <c r="C6" s="3"/>
      <c r="D6" s="21"/>
      <c r="E6" s="21"/>
      <c r="F6" s="21">
        <f>+E6-D6</f>
        <v>0</v>
      </c>
      <c r="G6" s="21"/>
      <c r="H6" s="21"/>
      <c r="I6" s="43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>
        <f t="shared" ref="AL6:AL24" si="1">SUM(I6:AK6)</f>
        <v>0</v>
      </c>
      <c r="AM6" s="21">
        <f t="shared" si="0"/>
        <v>0</v>
      </c>
    </row>
    <row r="7" spans="1:43" x14ac:dyDescent="0.25">
      <c r="A7" s="17"/>
      <c r="B7" s="55"/>
      <c r="C7" s="3"/>
      <c r="D7" s="21"/>
      <c r="E7" s="21"/>
      <c r="F7" s="21">
        <f>+E7-D7</f>
        <v>0</v>
      </c>
      <c r="G7" s="21">
        <f>+D7*0.15</f>
        <v>0</v>
      </c>
      <c r="H7" s="21">
        <f>+D7+G7</f>
        <v>0</v>
      </c>
      <c r="I7" s="49"/>
      <c r="J7" s="49"/>
      <c r="K7" s="49"/>
      <c r="L7" s="49"/>
      <c r="M7" s="49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>
        <f t="shared" si="1"/>
        <v>0</v>
      </c>
      <c r="AM7" s="21">
        <f t="shared" si="0"/>
        <v>0</v>
      </c>
      <c r="AN7" t="s">
        <v>14</v>
      </c>
      <c r="AO7" t="s">
        <v>14</v>
      </c>
      <c r="AP7" t="s">
        <v>14</v>
      </c>
      <c r="AQ7" t="s">
        <v>14</v>
      </c>
    </row>
    <row r="8" spans="1:43" x14ac:dyDescent="0.25">
      <c r="A8" s="18"/>
      <c r="B8" s="56"/>
      <c r="C8" s="2"/>
      <c r="D8" s="19"/>
      <c r="E8" s="19"/>
      <c r="F8" s="21">
        <f t="shared" ref="F8:F95" si="2">+E8-D8</f>
        <v>0</v>
      </c>
      <c r="G8" s="21">
        <f t="shared" ref="G8:G95" si="3">+D8*0.15</f>
        <v>0</v>
      </c>
      <c r="H8" s="21">
        <f t="shared" ref="H8:H95" si="4">+D8+G8</f>
        <v>0</v>
      </c>
      <c r="I8" s="50"/>
      <c r="J8" s="50"/>
      <c r="K8" s="50"/>
      <c r="L8" s="50"/>
      <c r="M8" s="5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1">
        <f t="shared" si="1"/>
        <v>0</v>
      </c>
      <c r="AM8" s="21">
        <f t="shared" si="0"/>
        <v>0</v>
      </c>
    </row>
    <row r="9" spans="1:43" x14ac:dyDescent="0.25">
      <c r="A9" s="18"/>
      <c r="B9" s="56"/>
      <c r="C9" s="2"/>
      <c r="D9" s="19"/>
      <c r="E9" s="19"/>
      <c r="F9" s="21">
        <f t="shared" si="2"/>
        <v>0</v>
      </c>
      <c r="G9" s="21"/>
      <c r="H9" s="21"/>
      <c r="I9" s="49"/>
      <c r="J9" s="49"/>
      <c r="K9" s="49"/>
      <c r="L9" s="49"/>
      <c r="M9" s="49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>
        <f t="shared" si="1"/>
        <v>0</v>
      </c>
      <c r="AM9" s="21">
        <f t="shared" si="0"/>
        <v>0</v>
      </c>
    </row>
    <row r="10" spans="1:43" x14ac:dyDescent="0.25">
      <c r="A10" s="18"/>
      <c r="B10" s="56"/>
      <c r="C10" s="2"/>
      <c r="D10" s="19"/>
      <c r="E10" s="19"/>
      <c r="F10" s="21">
        <f t="shared" si="2"/>
        <v>0</v>
      </c>
      <c r="G10" s="21"/>
      <c r="H10" s="21"/>
      <c r="I10" s="49"/>
      <c r="J10" s="49"/>
      <c r="K10" s="49"/>
      <c r="L10" s="49"/>
      <c r="M10" s="49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>
        <f t="shared" si="1"/>
        <v>0</v>
      </c>
      <c r="AM10" s="21">
        <f t="shared" si="0"/>
        <v>0</v>
      </c>
    </row>
    <row r="11" spans="1:43" x14ac:dyDescent="0.25">
      <c r="A11" s="18"/>
      <c r="B11" s="56"/>
      <c r="C11" s="2"/>
      <c r="D11" s="19"/>
      <c r="E11" s="19"/>
      <c r="F11" s="21">
        <f t="shared" si="2"/>
        <v>0</v>
      </c>
      <c r="G11" s="21"/>
      <c r="H11" s="21"/>
      <c r="I11" s="49"/>
      <c r="J11" s="49"/>
      <c r="K11" s="49"/>
      <c r="L11" s="49"/>
      <c r="M11" s="49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>
        <f t="shared" si="1"/>
        <v>0</v>
      </c>
      <c r="AM11" s="21">
        <f t="shared" si="0"/>
        <v>0</v>
      </c>
    </row>
    <row r="12" spans="1:43" x14ac:dyDescent="0.25">
      <c r="A12" s="18"/>
      <c r="B12" s="56"/>
      <c r="C12" s="2"/>
      <c r="D12" s="19"/>
      <c r="E12" s="19"/>
      <c r="F12" s="21">
        <f t="shared" si="2"/>
        <v>0</v>
      </c>
      <c r="G12" s="21"/>
      <c r="H12" s="21"/>
      <c r="I12" s="49"/>
      <c r="J12" s="49"/>
      <c r="K12" s="49"/>
      <c r="L12" s="49"/>
      <c r="M12" s="49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>
        <f t="shared" si="1"/>
        <v>0</v>
      </c>
      <c r="AM12" s="21">
        <f t="shared" si="0"/>
        <v>0</v>
      </c>
    </row>
    <row r="13" spans="1:43" x14ac:dyDescent="0.25">
      <c r="A13" s="18"/>
      <c r="B13" s="56"/>
      <c r="C13" s="2"/>
      <c r="D13" s="19"/>
      <c r="E13" s="19"/>
      <c r="F13" s="21">
        <f t="shared" si="2"/>
        <v>0</v>
      </c>
      <c r="G13" s="21">
        <f t="shared" si="3"/>
        <v>0</v>
      </c>
      <c r="H13" s="21">
        <f t="shared" si="4"/>
        <v>0</v>
      </c>
      <c r="I13" s="50"/>
      <c r="J13" s="50"/>
      <c r="K13" s="50"/>
      <c r="L13" s="50"/>
      <c r="M13" s="5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1">
        <f t="shared" si="1"/>
        <v>0</v>
      </c>
      <c r="AM13" s="21">
        <f t="shared" si="0"/>
        <v>0</v>
      </c>
    </row>
    <row r="14" spans="1:43" x14ac:dyDescent="0.25">
      <c r="A14" s="18"/>
      <c r="B14" s="56"/>
      <c r="C14" s="2"/>
      <c r="D14" s="19"/>
      <c r="E14" s="19"/>
      <c r="F14" s="21">
        <f t="shared" si="2"/>
        <v>0</v>
      </c>
      <c r="G14" s="21"/>
      <c r="H14" s="21"/>
      <c r="I14" s="49"/>
      <c r="J14" s="49"/>
      <c r="K14" s="49"/>
      <c r="L14" s="49"/>
      <c r="M14" s="49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>
        <f t="shared" si="1"/>
        <v>0</v>
      </c>
      <c r="AM14" s="21">
        <f t="shared" si="0"/>
        <v>0</v>
      </c>
    </row>
    <row r="15" spans="1:43" x14ac:dyDescent="0.25">
      <c r="A15" s="18"/>
      <c r="B15" s="56"/>
      <c r="C15" s="2"/>
      <c r="D15" s="19"/>
      <c r="E15" s="19"/>
      <c r="F15" s="21">
        <f t="shared" si="2"/>
        <v>0</v>
      </c>
      <c r="G15" s="21">
        <f t="shared" si="3"/>
        <v>0</v>
      </c>
      <c r="H15" s="21">
        <f t="shared" si="4"/>
        <v>0</v>
      </c>
      <c r="I15" s="50"/>
      <c r="J15" s="50"/>
      <c r="K15" s="50"/>
      <c r="L15" s="50"/>
      <c r="M15" s="50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1">
        <f t="shared" si="1"/>
        <v>0</v>
      </c>
      <c r="AM15" s="21">
        <f t="shared" si="0"/>
        <v>0</v>
      </c>
    </row>
    <row r="16" spans="1:43" x14ac:dyDescent="0.25">
      <c r="A16" s="18"/>
      <c r="B16" s="56"/>
      <c r="C16" s="2"/>
      <c r="D16" s="19"/>
      <c r="E16" s="19"/>
      <c r="F16" s="21">
        <f t="shared" si="2"/>
        <v>0</v>
      </c>
      <c r="G16" s="21">
        <f t="shared" si="3"/>
        <v>0</v>
      </c>
      <c r="H16" s="21">
        <f t="shared" si="4"/>
        <v>0</v>
      </c>
      <c r="I16" s="50"/>
      <c r="J16" s="50"/>
      <c r="K16" s="50"/>
      <c r="L16" s="50"/>
      <c r="M16" s="50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1">
        <f t="shared" si="1"/>
        <v>0</v>
      </c>
      <c r="AM16" s="21">
        <f t="shared" si="0"/>
        <v>0</v>
      </c>
    </row>
    <row r="17" spans="1:39" x14ac:dyDescent="0.25">
      <c r="A17" s="18"/>
      <c r="B17" s="56"/>
      <c r="C17" s="2"/>
      <c r="D17" s="19"/>
      <c r="E17" s="19"/>
      <c r="F17" s="21">
        <f t="shared" si="2"/>
        <v>0</v>
      </c>
      <c r="G17" s="21"/>
      <c r="H17" s="21"/>
      <c r="I17" s="49"/>
      <c r="J17" s="49"/>
      <c r="K17" s="49"/>
      <c r="L17" s="49"/>
      <c r="M17" s="49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>
        <f t="shared" si="1"/>
        <v>0</v>
      </c>
      <c r="AM17" s="21">
        <f t="shared" si="0"/>
        <v>0</v>
      </c>
    </row>
    <row r="18" spans="1:39" x14ac:dyDescent="0.25">
      <c r="A18" s="18"/>
      <c r="B18" s="56"/>
      <c r="C18" s="2"/>
      <c r="D18" s="19"/>
      <c r="E18" s="19"/>
      <c r="F18" s="21">
        <f t="shared" si="2"/>
        <v>0</v>
      </c>
      <c r="G18" s="21">
        <f t="shared" si="3"/>
        <v>0</v>
      </c>
      <c r="H18" s="21">
        <f t="shared" si="4"/>
        <v>0</v>
      </c>
      <c r="I18" s="50"/>
      <c r="J18" s="50"/>
      <c r="K18" s="50"/>
      <c r="L18" s="50"/>
      <c r="M18" s="50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1">
        <f t="shared" si="1"/>
        <v>0</v>
      </c>
      <c r="AM18" s="21">
        <f t="shared" si="0"/>
        <v>0</v>
      </c>
    </row>
    <row r="19" spans="1:39" x14ac:dyDescent="0.25">
      <c r="A19" s="18"/>
      <c r="B19" s="56"/>
      <c r="C19" s="2"/>
      <c r="D19" s="19"/>
      <c r="E19" s="19"/>
      <c r="F19" s="21">
        <f t="shared" si="2"/>
        <v>0</v>
      </c>
      <c r="G19" s="21"/>
      <c r="H19" s="21"/>
      <c r="I19" s="50"/>
      <c r="J19" s="50"/>
      <c r="K19" s="50"/>
      <c r="L19" s="50"/>
      <c r="M19" s="50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1">
        <f t="shared" si="1"/>
        <v>0</v>
      </c>
      <c r="AM19" s="21">
        <f t="shared" si="0"/>
        <v>0</v>
      </c>
    </row>
    <row r="20" spans="1:39" x14ac:dyDescent="0.25">
      <c r="A20" s="18"/>
      <c r="B20" s="56"/>
      <c r="C20" s="2"/>
      <c r="D20" s="19"/>
      <c r="E20" s="19"/>
      <c r="F20" s="21">
        <f t="shared" si="2"/>
        <v>0</v>
      </c>
      <c r="G20" s="21"/>
      <c r="H20" s="21"/>
      <c r="I20" s="49"/>
      <c r="J20" s="49"/>
      <c r="K20" s="49"/>
      <c r="L20" s="49"/>
      <c r="M20" s="49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>
        <f t="shared" si="1"/>
        <v>0</v>
      </c>
      <c r="AM20" s="21">
        <f t="shared" si="0"/>
        <v>0</v>
      </c>
    </row>
    <row r="21" spans="1:39" x14ac:dyDescent="0.25">
      <c r="A21" s="18"/>
      <c r="B21" s="56"/>
      <c r="C21" s="2"/>
      <c r="D21" s="19"/>
      <c r="E21" s="19"/>
      <c r="F21" s="21">
        <f t="shared" si="2"/>
        <v>0</v>
      </c>
      <c r="G21" s="21">
        <f t="shared" si="3"/>
        <v>0</v>
      </c>
      <c r="H21" s="21">
        <f t="shared" si="4"/>
        <v>0</v>
      </c>
      <c r="I21" s="50"/>
      <c r="J21" s="50"/>
      <c r="K21" s="50"/>
      <c r="L21" s="50"/>
      <c r="M21" s="50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1">
        <f t="shared" si="1"/>
        <v>0</v>
      </c>
      <c r="AM21" s="21">
        <f t="shared" si="0"/>
        <v>0</v>
      </c>
    </row>
    <row r="22" spans="1:39" x14ac:dyDescent="0.25">
      <c r="A22" s="18"/>
      <c r="B22" s="56"/>
      <c r="C22" s="2"/>
      <c r="D22" s="19"/>
      <c r="E22" s="19"/>
      <c r="F22" s="21">
        <f t="shared" si="2"/>
        <v>0</v>
      </c>
      <c r="G22" s="21">
        <f t="shared" si="3"/>
        <v>0</v>
      </c>
      <c r="H22" s="21">
        <f t="shared" si="4"/>
        <v>0</v>
      </c>
      <c r="I22" s="50"/>
      <c r="J22" s="50"/>
      <c r="K22" s="50"/>
      <c r="L22" s="50"/>
      <c r="M22" s="50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1">
        <f t="shared" si="1"/>
        <v>0</v>
      </c>
      <c r="AM22" s="21">
        <f t="shared" si="0"/>
        <v>0</v>
      </c>
    </row>
    <row r="23" spans="1:39" x14ac:dyDescent="0.25">
      <c r="A23" s="18"/>
      <c r="B23" s="56"/>
      <c r="C23" s="2"/>
      <c r="D23" s="19"/>
      <c r="E23" s="19"/>
      <c r="F23" s="21">
        <f t="shared" si="2"/>
        <v>0</v>
      </c>
      <c r="G23" s="21">
        <f t="shared" si="3"/>
        <v>0</v>
      </c>
      <c r="H23" s="21">
        <f t="shared" si="4"/>
        <v>0</v>
      </c>
      <c r="I23" s="50"/>
      <c r="J23" s="50"/>
      <c r="K23" s="50"/>
      <c r="L23" s="50"/>
      <c r="M23" s="50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1">
        <f t="shared" si="1"/>
        <v>0</v>
      </c>
      <c r="AM23" s="21">
        <f t="shared" si="0"/>
        <v>0</v>
      </c>
    </row>
    <row r="24" spans="1:39" ht="15.75" thickBot="1" x14ac:dyDescent="0.3">
      <c r="A24" s="44"/>
      <c r="B24" s="57"/>
      <c r="C24" s="45"/>
      <c r="D24" s="22"/>
      <c r="E24" s="22"/>
      <c r="F24" s="23">
        <f t="shared" si="2"/>
        <v>0</v>
      </c>
      <c r="G24" s="23">
        <f t="shared" si="3"/>
        <v>0</v>
      </c>
      <c r="H24" s="23">
        <f t="shared" si="4"/>
        <v>0</v>
      </c>
      <c r="I24" s="51"/>
      <c r="J24" s="51"/>
      <c r="K24" s="51"/>
      <c r="L24" s="51"/>
      <c r="M24" s="51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1">
        <f t="shared" si="1"/>
        <v>0</v>
      </c>
      <c r="AM24" s="23">
        <f t="shared" si="0"/>
        <v>0</v>
      </c>
    </row>
    <row r="25" spans="1:39" s="48" customFormat="1" ht="19.5" thickBot="1" x14ac:dyDescent="0.35">
      <c r="A25" s="67" t="s">
        <v>110</v>
      </c>
      <c r="B25" s="68"/>
      <c r="C25" s="69"/>
      <c r="D25" s="46">
        <f>SUM(D5:D24)</f>
        <v>0</v>
      </c>
      <c r="E25" s="46">
        <f>SUM(E5:E24)</f>
        <v>0</v>
      </c>
      <c r="F25" s="46">
        <f>SUM(F5:F24)</f>
        <v>0</v>
      </c>
      <c r="G25" s="46"/>
      <c r="H25" s="46"/>
      <c r="I25" s="46">
        <f>SUM(I5:I24)</f>
        <v>0</v>
      </c>
      <c r="J25" s="46"/>
      <c r="K25" s="46"/>
      <c r="L25" s="46"/>
      <c r="M25" s="46">
        <f>SUM(M5:M24)</f>
        <v>0</v>
      </c>
      <c r="N25" s="46"/>
      <c r="O25" s="46"/>
      <c r="P25" s="46"/>
      <c r="Q25" s="46">
        <f>SUM(Q5:Q24)</f>
        <v>0</v>
      </c>
      <c r="R25" s="46"/>
      <c r="S25" s="46"/>
      <c r="T25" s="46"/>
      <c r="U25" s="46">
        <f>SUM(U5:U24)</f>
        <v>0</v>
      </c>
      <c r="V25" s="46"/>
      <c r="W25" s="46"/>
      <c r="X25" s="46"/>
      <c r="Y25" s="46">
        <f>SUM(Y5:Y24)</f>
        <v>0</v>
      </c>
      <c r="Z25" s="46"/>
      <c r="AA25" s="46"/>
      <c r="AB25" s="46"/>
      <c r="AC25" s="46">
        <f>SUM(AC5:AC24)</f>
        <v>0</v>
      </c>
      <c r="AD25" s="46"/>
      <c r="AE25" s="46"/>
      <c r="AF25" s="46"/>
      <c r="AG25" s="46">
        <f>SUM(AG5:AG24)</f>
        <v>0</v>
      </c>
      <c r="AH25" s="46"/>
      <c r="AI25" s="46"/>
      <c r="AJ25" s="46"/>
      <c r="AK25" s="46">
        <f>SUM(AK5:AK24)</f>
        <v>0</v>
      </c>
      <c r="AL25" s="46">
        <f>SUM(AL5:AL24)</f>
        <v>0</v>
      </c>
      <c r="AM25" s="47"/>
    </row>
    <row r="26" spans="1:39" x14ac:dyDescent="0.25">
      <c r="A26" s="17"/>
      <c r="B26" s="55"/>
      <c r="C26" s="3"/>
      <c r="D26" s="19"/>
      <c r="E26" s="19"/>
      <c r="F26" s="21">
        <f t="shared" ref="F26" si="5">+E26-D26</f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>
        <f>SUM(I26:AK26)</f>
        <v>0</v>
      </c>
      <c r="AM26" s="21">
        <f>+AL26-E26</f>
        <v>0</v>
      </c>
    </row>
    <row r="27" spans="1:39" x14ac:dyDescent="0.25">
      <c r="A27" s="18"/>
      <c r="B27" s="56"/>
      <c r="C27" s="2"/>
      <c r="D27" s="19"/>
      <c r="E27" s="19"/>
      <c r="F27" s="21">
        <f t="shared" si="2"/>
        <v>0</v>
      </c>
      <c r="G27" s="21">
        <f t="shared" si="3"/>
        <v>0</v>
      </c>
      <c r="H27" s="21">
        <f t="shared" si="4"/>
        <v>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1">
        <f t="shared" ref="AL27:AL60" si="6">SUM(I27:AK27)</f>
        <v>0</v>
      </c>
      <c r="AM27" s="21">
        <f t="shared" ref="AM27:AM60" si="7">+AL27-E27</f>
        <v>0</v>
      </c>
    </row>
    <row r="28" spans="1:39" x14ac:dyDescent="0.25">
      <c r="A28" s="17"/>
      <c r="B28" s="55"/>
      <c r="C28" s="3"/>
      <c r="D28" s="19"/>
      <c r="E28" s="19"/>
      <c r="F28" s="21">
        <f t="shared" si="2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>
        <f t="shared" si="6"/>
        <v>0</v>
      </c>
      <c r="AM28" s="21">
        <f t="shared" si="7"/>
        <v>0</v>
      </c>
    </row>
    <row r="29" spans="1:39" x14ac:dyDescent="0.25">
      <c r="A29" s="18"/>
      <c r="B29" s="56"/>
      <c r="C29" s="2"/>
      <c r="D29" s="19"/>
      <c r="E29" s="19"/>
      <c r="F29" s="21">
        <f t="shared" si="2"/>
        <v>0</v>
      </c>
      <c r="G29" s="21">
        <f t="shared" si="3"/>
        <v>0</v>
      </c>
      <c r="H29" s="21">
        <f t="shared" si="4"/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50"/>
      <c r="AL29" s="21">
        <f t="shared" si="6"/>
        <v>0</v>
      </c>
      <c r="AM29" s="21">
        <f t="shared" si="7"/>
        <v>0</v>
      </c>
    </row>
    <row r="30" spans="1:39" x14ac:dyDescent="0.25">
      <c r="A30" s="18"/>
      <c r="B30" s="56"/>
      <c r="C30" s="2"/>
      <c r="D30" s="19"/>
      <c r="E30" s="19"/>
      <c r="F30" s="21">
        <f t="shared" si="2"/>
        <v>0</v>
      </c>
      <c r="G30" s="21">
        <f t="shared" si="3"/>
        <v>0</v>
      </c>
      <c r="H30" s="21">
        <f t="shared" si="4"/>
        <v>0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50"/>
      <c r="AL30" s="21">
        <f t="shared" si="6"/>
        <v>0</v>
      </c>
      <c r="AM30" s="21">
        <f t="shared" si="7"/>
        <v>0</v>
      </c>
    </row>
    <row r="31" spans="1:39" x14ac:dyDescent="0.25">
      <c r="A31" s="17"/>
      <c r="B31" s="55"/>
      <c r="C31" s="3"/>
      <c r="D31" s="19"/>
      <c r="E31" s="19"/>
      <c r="F31" s="21">
        <f t="shared" si="2"/>
        <v>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49"/>
      <c r="AL31" s="21">
        <f t="shared" si="6"/>
        <v>0</v>
      </c>
      <c r="AM31" s="21">
        <f t="shared" si="7"/>
        <v>0</v>
      </c>
    </row>
    <row r="32" spans="1:39" x14ac:dyDescent="0.25">
      <c r="A32" s="17"/>
      <c r="B32" s="55"/>
      <c r="C32" s="3"/>
      <c r="D32" s="19"/>
      <c r="E32" s="19"/>
      <c r="F32" s="21">
        <f t="shared" si="2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49"/>
      <c r="AL32" s="21">
        <f t="shared" si="6"/>
        <v>0</v>
      </c>
      <c r="AM32" s="21">
        <f t="shared" si="7"/>
        <v>0</v>
      </c>
    </row>
    <row r="33" spans="1:39" x14ac:dyDescent="0.25">
      <c r="A33" s="18"/>
      <c r="B33" s="56"/>
      <c r="C33" s="2"/>
      <c r="D33" s="19"/>
      <c r="E33" s="19"/>
      <c r="F33" s="21">
        <f t="shared" si="2"/>
        <v>0</v>
      </c>
      <c r="G33" s="21">
        <f t="shared" si="3"/>
        <v>0</v>
      </c>
      <c r="H33" s="21">
        <f t="shared" si="4"/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50"/>
      <c r="AL33" s="21">
        <f t="shared" si="6"/>
        <v>0</v>
      </c>
      <c r="AM33" s="21">
        <f t="shared" si="7"/>
        <v>0</v>
      </c>
    </row>
    <row r="34" spans="1:39" x14ac:dyDescent="0.25">
      <c r="A34" s="18"/>
      <c r="B34" s="56"/>
      <c r="C34" s="2"/>
      <c r="D34" s="19"/>
      <c r="E34" s="19"/>
      <c r="F34" s="21">
        <f t="shared" si="2"/>
        <v>0</v>
      </c>
      <c r="G34" s="21">
        <f t="shared" si="3"/>
        <v>0</v>
      </c>
      <c r="H34" s="21">
        <f t="shared" si="4"/>
        <v>0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50"/>
      <c r="AL34" s="21">
        <f t="shared" si="6"/>
        <v>0</v>
      </c>
      <c r="AM34" s="21">
        <f t="shared" si="7"/>
        <v>0</v>
      </c>
    </row>
    <row r="35" spans="1:39" x14ac:dyDescent="0.25">
      <c r="A35" s="18"/>
      <c r="B35" s="56"/>
      <c r="C35" s="2"/>
      <c r="D35" s="19"/>
      <c r="E35" s="19"/>
      <c r="F35" s="21">
        <f t="shared" si="2"/>
        <v>0</v>
      </c>
      <c r="G35" s="21">
        <f t="shared" si="3"/>
        <v>0</v>
      </c>
      <c r="H35" s="21">
        <f t="shared" si="4"/>
        <v>0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50"/>
      <c r="AL35" s="21">
        <f t="shared" si="6"/>
        <v>0</v>
      </c>
      <c r="AM35" s="21">
        <f t="shared" si="7"/>
        <v>0</v>
      </c>
    </row>
    <row r="36" spans="1:39" x14ac:dyDescent="0.25">
      <c r="A36" s="18"/>
      <c r="B36" s="56"/>
      <c r="C36" s="2"/>
      <c r="D36" s="19"/>
      <c r="E36" s="19"/>
      <c r="F36" s="21">
        <f t="shared" si="2"/>
        <v>0</v>
      </c>
      <c r="G36" s="21">
        <f t="shared" si="3"/>
        <v>0</v>
      </c>
      <c r="H36" s="21">
        <f t="shared" si="4"/>
        <v>0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50"/>
      <c r="AL36" s="21">
        <f t="shared" si="6"/>
        <v>0</v>
      </c>
      <c r="AM36" s="21">
        <f t="shared" si="7"/>
        <v>0</v>
      </c>
    </row>
    <row r="37" spans="1:39" x14ac:dyDescent="0.25">
      <c r="A37" s="18"/>
      <c r="B37" s="56"/>
      <c r="C37" s="2"/>
      <c r="D37" s="19"/>
      <c r="E37" s="19"/>
      <c r="F37" s="21">
        <f t="shared" si="2"/>
        <v>0</v>
      </c>
      <c r="G37" s="21">
        <f t="shared" si="3"/>
        <v>0</v>
      </c>
      <c r="H37" s="21">
        <f t="shared" si="4"/>
        <v>0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50"/>
      <c r="AL37" s="21">
        <f t="shared" si="6"/>
        <v>0</v>
      </c>
      <c r="AM37" s="21">
        <f t="shared" si="7"/>
        <v>0</v>
      </c>
    </row>
    <row r="38" spans="1:39" x14ac:dyDescent="0.25">
      <c r="A38" s="17"/>
      <c r="B38" s="55"/>
      <c r="C38" s="3"/>
      <c r="D38" s="19"/>
      <c r="E38" s="19"/>
      <c r="F38" s="21">
        <f t="shared" si="2"/>
        <v>0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49"/>
      <c r="AL38" s="21">
        <f t="shared" si="6"/>
        <v>0</v>
      </c>
      <c r="AM38" s="21">
        <f t="shared" si="7"/>
        <v>0</v>
      </c>
    </row>
    <row r="39" spans="1:39" x14ac:dyDescent="0.25">
      <c r="A39" s="18"/>
      <c r="B39" s="56"/>
      <c r="C39" s="2"/>
      <c r="D39" s="19"/>
      <c r="E39" s="19"/>
      <c r="F39" s="21">
        <f t="shared" si="2"/>
        <v>0</v>
      </c>
      <c r="G39" s="21">
        <f t="shared" si="3"/>
        <v>0</v>
      </c>
      <c r="H39" s="21">
        <f t="shared" si="4"/>
        <v>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50"/>
      <c r="AL39" s="21">
        <f t="shared" si="6"/>
        <v>0</v>
      </c>
      <c r="AM39" s="21">
        <f t="shared" si="7"/>
        <v>0</v>
      </c>
    </row>
    <row r="40" spans="1:39" x14ac:dyDescent="0.25">
      <c r="A40" s="18"/>
      <c r="B40" s="56"/>
      <c r="C40" s="2"/>
      <c r="D40" s="19"/>
      <c r="E40" s="19"/>
      <c r="F40" s="21">
        <f t="shared" si="2"/>
        <v>0</v>
      </c>
      <c r="G40" s="21">
        <f t="shared" si="3"/>
        <v>0</v>
      </c>
      <c r="H40" s="21">
        <f t="shared" si="4"/>
        <v>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50"/>
      <c r="AL40" s="21">
        <f t="shared" si="6"/>
        <v>0</v>
      </c>
      <c r="AM40" s="21">
        <f t="shared" si="7"/>
        <v>0</v>
      </c>
    </row>
    <row r="41" spans="1:39" x14ac:dyDescent="0.25">
      <c r="A41" s="17"/>
      <c r="B41" s="55"/>
      <c r="C41" s="3"/>
      <c r="D41" s="19"/>
      <c r="E41" s="19"/>
      <c r="F41" s="21">
        <f t="shared" si="2"/>
        <v>0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49"/>
      <c r="AL41" s="21">
        <f t="shared" si="6"/>
        <v>0</v>
      </c>
      <c r="AM41" s="21">
        <f t="shared" si="7"/>
        <v>0</v>
      </c>
    </row>
    <row r="42" spans="1:39" x14ac:dyDescent="0.25">
      <c r="A42" s="18"/>
      <c r="B42" s="56"/>
      <c r="C42" s="2"/>
      <c r="D42" s="19"/>
      <c r="E42" s="19"/>
      <c r="F42" s="21">
        <f t="shared" si="2"/>
        <v>0</v>
      </c>
      <c r="G42" s="21">
        <f t="shared" si="3"/>
        <v>0</v>
      </c>
      <c r="H42" s="21">
        <f t="shared" si="4"/>
        <v>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50"/>
      <c r="AL42" s="21">
        <f t="shared" si="6"/>
        <v>0</v>
      </c>
      <c r="AM42" s="21">
        <f t="shared" si="7"/>
        <v>0</v>
      </c>
    </row>
    <row r="43" spans="1:39" x14ac:dyDescent="0.25">
      <c r="A43" s="18"/>
      <c r="B43" s="56"/>
      <c r="C43" s="2"/>
      <c r="D43" s="19"/>
      <c r="E43" s="19"/>
      <c r="F43" s="21">
        <f t="shared" si="2"/>
        <v>0</v>
      </c>
      <c r="G43" s="21">
        <f t="shared" si="3"/>
        <v>0</v>
      </c>
      <c r="H43" s="21">
        <f t="shared" si="4"/>
        <v>0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50"/>
      <c r="AL43" s="21">
        <f t="shared" si="6"/>
        <v>0</v>
      </c>
      <c r="AM43" s="21">
        <f t="shared" si="7"/>
        <v>0</v>
      </c>
    </row>
    <row r="44" spans="1:39" x14ac:dyDescent="0.25">
      <c r="A44" s="17"/>
      <c r="B44" s="55"/>
      <c r="C44" s="3"/>
      <c r="D44" s="19"/>
      <c r="E44" s="19"/>
      <c r="F44" s="21">
        <f t="shared" si="2"/>
        <v>0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49"/>
      <c r="AL44" s="21">
        <f t="shared" si="6"/>
        <v>0</v>
      </c>
      <c r="AM44" s="21">
        <f t="shared" si="7"/>
        <v>0</v>
      </c>
    </row>
    <row r="45" spans="1:39" x14ac:dyDescent="0.25">
      <c r="A45" s="18"/>
      <c r="B45" s="56"/>
      <c r="C45" s="2"/>
      <c r="D45" s="19"/>
      <c r="E45" s="19"/>
      <c r="F45" s="21">
        <f t="shared" si="2"/>
        <v>0</v>
      </c>
      <c r="G45" s="21">
        <f t="shared" si="3"/>
        <v>0</v>
      </c>
      <c r="H45" s="21">
        <f t="shared" si="4"/>
        <v>0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50"/>
      <c r="AL45" s="21">
        <f t="shared" si="6"/>
        <v>0</v>
      </c>
      <c r="AM45" s="21">
        <f t="shared" si="7"/>
        <v>0</v>
      </c>
    </row>
    <row r="46" spans="1:39" x14ac:dyDescent="0.25">
      <c r="A46" s="18"/>
      <c r="B46" s="56"/>
      <c r="C46" s="2"/>
      <c r="D46" s="19"/>
      <c r="E46" s="19"/>
      <c r="F46" s="21">
        <f t="shared" si="2"/>
        <v>0</v>
      </c>
      <c r="G46" s="21">
        <f t="shared" si="3"/>
        <v>0</v>
      </c>
      <c r="H46" s="21">
        <f t="shared" si="4"/>
        <v>0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50"/>
      <c r="AL46" s="21">
        <f t="shared" si="6"/>
        <v>0</v>
      </c>
      <c r="AM46" s="21">
        <f t="shared" si="7"/>
        <v>0</v>
      </c>
    </row>
    <row r="47" spans="1:39" x14ac:dyDescent="0.25">
      <c r="A47" s="18"/>
      <c r="B47" s="56"/>
      <c r="C47" s="2"/>
      <c r="D47" s="19"/>
      <c r="E47" s="19"/>
      <c r="F47" s="21">
        <f t="shared" si="2"/>
        <v>0</v>
      </c>
      <c r="G47" s="21">
        <f t="shared" si="3"/>
        <v>0</v>
      </c>
      <c r="H47" s="21">
        <f t="shared" si="4"/>
        <v>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50"/>
      <c r="AL47" s="21">
        <f t="shared" si="6"/>
        <v>0</v>
      </c>
      <c r="AM47" s="21">
        <f t="shared" si="7"/>
        <v>0</v>
      </c>
    </row>
    <row r="48" spans="1:39" x14ac:dyDescent="0.25">
      <c r="A48" s="17"/>
      <c r="B48" s="55"/>
      <c r="C48" s="3"/>
      <c r="D48" s="19"/>
      <c r="E48" s="19"/>
      <c r="F48" s="21">
        <f t="shared" si="2"/>
        <v>0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49"/>
      <c r="AL48" s="21">
        <f t="shared" si="6"/>
        <v>0</v>
      </c>
      <c r="AM48" s="21">
        <f t="shared" si="7"/>
        <v>0</v>
      </c>
    </row>
    <row r="49" spans="1:39" x14ac:dyDescent="0.25">
      <c r="A49" s="18"/>
      <c r="B49" s="56"/>
      <c r="C49" s="2"/>
      <c r="D49" s="19"/>
      <c r="E49" s="19"/>
      <c r="F49" s="21">
        <f t="shared" si="2"/>
        <v>0</v>
      </c>
      <c r="G49" s="21">
        <f t="shared" si="3"/>
        <v>0</v>
      </c>
      <c r="H49" s="21">
        <f t="shared" si="4"/>
        <v>0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50"/>
      <c r="AL49" s="21">
        <f t="shared" si="6"/>
        <v>0</v>
      </c>
      <c r="AM49" s="21">
        <f t="shared" si="7"/>
        <v>0</v>
      </c>
    </row>
    <row r="50" spans="1:39" x14ac:dyDescent="0.25">
      <c r="A50" s="17"/>
      <c r="B50" s="55"/>
      <c r="C50" s="3"/>
      <c r="D50" s="19"/>
      <c r="E50" s="19"/>
      <c r="F50" s="21">
        <f t="shared" si="2"/>
        <v>0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49"/>
      <c r="AL50" s="21">
        <f t="shared" si="6"/>
        <v>0</v>
      </c>
      <c r="AM50" s="21">
        <f t="shared" si="7"/>
        <v>0</v>
      </c>
    </row>
    <row r="51" spans="1:39" x14ac:dyDescent="0.25">
      <c r="A51" s="17"/>
      <c r="B51" s="55"/>
      <c r="C51" s="3"/>
      <c r="D51" s="19"/>
      <c r="E51" s="19"/>
      <c r="F51" s="21">
        <f t="shared" si="2"/>
        <v>0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49"/>
      <c r="AL51" s="21">
        <f t="shared" si="6"/>
        <v>0</v>
      </c>
      <c r="AM51" s="21">
        <f t="shared" si="7"/>
        <v>0</v>
      </c>
    </row>
    <row r="52" spans="1:39" x14ac:dyDescent="0.25">
      <c r="A52" s="17"/>
      <c r="B52" s="55"/>
      <c r="C52" s="3"/>
      <c r="D52" s="19"/>
      <c r="E52" s="19"/>
      <c r="F52" s="21">
        <f t="shared" si="2"/>
        <v>0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49"/>
      <c r="AL52" s="21">
        <f t="shared" si="6"/>
        <v>0</v>
      </c>
      <c r="AM52" s="21">
        <f t="shared" si="7"/>
        <v>0</v>
      </c>
    </row>
    <row r="53" spans="1:39" x14ac:dyDescent="0.25">
      <c r="A53" s="17"/>
      <c r="B53" s="55"/>
      <c r="C53" s="3"/>
      <c r="D53" s="19"/>
      <c r="E53" s="19"/>
      <c r="F53" s="21">
        <f t="shared" si="2"/>
        <v>0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49"/>
      <c r="AL53" s="21">
        <f t="shared" si="6"/>
        <v>0</v>
      </c>
      <c r="AM53" s="21">
        <f t="shared" si="7"/>
        <v>0</v>
      </c>
    </row>
    <row r="54" spans="1:39" x14ac:dyDescent="0.25">
      <c r="A54" s="18"/>
      <c r="B54" s="56"/>
      <c r="C54" s="2"/>
      <c r="D54" s="19"/>
      <c r="E54" s="19"/>
      <c r="F54" s="21">
        <f t="shared" si="2"/>
        <v>0</v>
      </c>
      <c r="G54" s="21">
        <f t="shared" si="3"/>
        <v>0</v>
      </c>
      <c r="H54" s="21">
        <f t="shared" si="4"/>
        <v>0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50"/>
      <c r="AL54" s="21">
        <f t="shared" si="6"/>
        <v>0</v>
      </c>
      <c r="AM54" s="21">
        <f t="shared" si="7"/>
        <v>0</v>
      </c>
    </row>
    <row r="55" spans="1:39" x14ac:dyDescent="0.25">
      <c r="A55" s="18"/>
      <c r="B55" s="56"/>
      <c r="C55" s="2"/>
      <c r="D55" s="19"/>
      <c r="E55" s="19"/>
      <c r="F55" s="21">
        <f t="shared" si="2"/>
        <v>0</v>
      </c>
      <c r="G55" s="21">
        <f t="shared" si="3"/>
        <v>0</v>
      </c>
      <c r="H55" s="21">
        <f t="shared" si="4"/>
        <v>0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50"/>
      <c r="AL55" s="21">
        <f t="shared" si="6"/>
        <v>0</v>
      </c>
      <c r="AM55" s="21">
        <f t="shared" si="7"/>
        <v>0</v>
      </c>
    </row>
    <row r="56" spans="1:39" x14ac:dyDescent="0.25">
      <c r="A56" s="17"/>
      <c r="B56" s="55"/>
      <c r="C56" s="3"/>
      <c r="D56" s="19"/>
      <c r="E56" s="19"/>
      <c r="F56" s="21">
        <f t="shared" si="2"/>
        <v>0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49"/>
      <c r="AL56" s="21">
        <f t="shared" si="6"/>
        <v>0</v>
      </c>
      <c r="AM56" s="21">
        <f t="shared" si="7"/>
        <v>0</v>
      </c>
    </row>
    <row r="57" spans="1:39" x14ac:dyDescent="0.25">
      <c r="A57" s="17"/>
      <c r="B57" s="55"/>
      <c r="C57" s="3"/>
      <c r="D57" s="19"/>
      <c r="E57" s="19"/>
      <c r="F57" s="21">
        <f t="shared" si="2"/>
        <v>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49"/>
      <c r="AL57" s="21">
        <f t="shared" si="6"/>
        <v>0</v>
      </c>
      <c r="AM57" s="21">
        <f t="shared" si="7"/>
        <v>0</v>
      </c>
    </row>
    <row r="58" spans="1:39" x14ac:dyDescent="0.25">
      <c r="A58" s="17"/>
      <c r="B58" s="55"/>
      <c r="C58" s="3"/>
      <c r="D58" s="19"/>
      <c r="E58" s="19"/>
      <c r="F58" s="21">
        <f t="shared" si="2"/>
        <v>0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49"/>
      <c r="AL58" s="21">
        <f t="shared" si="6"/>
        <v>0</v>
      </c>
      <c r="AM58" s="21">
        <f t="shared" si="7"/>
        <v>0</v>
      </c>
    </row>
    <row r="59" spans="1:39" x14ac:dyDescent="0.25">
      <c r="A59" s="17"/>
      <c r="B59" s="55"/>
      <c r="C59" s="3"/>
      <c r="D59" s="19"/>
      <c r="E59" s="19"/>
      <c r="F59" s="21">
        <f t="shared" si="2"/>
        <v>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49"/>
      <c r="AL59" s="21">
        <f t="shared" si="6"/>
        <v>0</v>
      </c>
      <c r="AM59" s="21">
        <f t="shared" si="7"/>
        <v>0</v>
      </c>
    </row>
    <row r="60" spans="1:39" ht="15.75" thickBot="1" x14ac:dyDescent="0.3">
      <c r="A60" s="17"/>
      <c r="B60" s="55"/>
      <c r="C60" s="3"/>
      <c r="D60" s="19"/>
      <c r="E60" s="19"/>
      <c r="F60" s="21">
        <f t="shared" si="2"/>
        <v>0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>
        <f t="shared" si="6"/>
        <v>0</v>
      </c>
      <c r="AM60" s="21">
        <f t="shared" si="7"/>
        <v>0</v>
      </c>
    </row>
    <row r="61" spans="1:39" s="48" customFormat="1" ht="19.5" thickBot="1" x14ac:dyDescent="0.35">
      <c r="A61" s="67" t="s">
        <v>110</v>
      </c>
      <c r="B61" s="68"/>
      <c r="C61" s="69"/>
      <c r="D61" s="46">
        <f>SUM(D27:D60)</f>
        <v>0</v>
      </c>
      <c r="E61" s="46">
        <f>SUM(E27:E60)</f>
        <v>0</v>
      </c>
      <c r="F61" s="46">
        <f>SUM(F27:F60)</f>
        <v>0</v>
      </c>
      <c r="G61" s="46"/>
      <c r="H61" s="46"/>
      <c r="I61" s="46"/>
      <c r="J61" s="46"/>
      <c r="K61" s="46"/>
      <c r="L61" s="46"/>
      <c r="M61" s="46">
        <f>SUM(M27:M60)</f>
        <v>0</v>
      </c>
      <c r="N61" s="46"/>
      <c r="O61" s="46"/>
      <c r="P61" s="46"/>
      <c r="Q61" s="46">
        <f>SUM(Q27:Q60)</f>
        <v>0</v>
      </c>
      <c r="R61" s="46"/>
      <c r="S61" s="46"/>
      <c r="T61" s="46"/>
      <c r="U61" s="46">
        <f>SUM(U27:U60)</f>
        <v>0</v>
      </c>
      <c r="V61" s="46"/>
      <c r="W61" s="46"/>
      <c r="X61" s="46"/>
      <c r="Y61" s="46">
        <f>SUM(Y27:Y60)</f>
        <v>0</v>
      </c>
      <c r="Z61" s="46"/>
      <c r="AA61" s="46"/>
      <c r="AB61" s="46"/>
      <c r="AC61" s="46">
        <f>SUM(AC27:AC60)</f>
        <v>0</v>
      </c>
      <c r="AD61" s="46"/>
      <c r="AE61" s="46"/>
      <c r="AF61" s="46"/>
      <c r="AG61" s="46">
        <f>SUM(AG27:AG60)</f>
        <v>0</v>
      </c>
      <c r="AH61" s="46"/>
      <c r="AI61" s="46"/>
      <c r="AJ61" s="46">
        <f>SUM(AJ27:AJ60)</f>
        <v>0</v>
      </c>
      <c r="AK61" s="46">
        <f>SUM(AK26:AK60)</f>
        <v>0</v>
      </c>
      <c r="AL61" s="46">
        <f>SUM(AL27:AL60)</f>
        <v>0</v>
      </c>
      <c r="AM61" s="47"/>
    </row>
    <row r="62" spans="1:39" x14ac:dyDescent="0.25">
      <c r="A62" s="17"/>
      <c r="B62" s="55"/>
      <c r="C62" s="3"/>
      <c r="D62" s="21"/>
      <c r="E62" s="21"/>
      <c r="F62" s="21">
        <f t="shared" si="2"/>
        <v>0</v>
      </c>
      <c r="G62" s="21">
        <f t="shared" si="3"/>
        <v>0</v>
      </c>
      <c r="H62" s="21">
        <f t="shared" si="4"/>
        <v>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>
        <f>SUM(I62:AK62)</f>
        <v>0</v>
      </c>
      <c r="AM62" s="21">
        <f>+AL62-E62</f>
        <v>0</v>
      </c>
    </row>
    <row r="63" spans="1:39" ht="14.25" customHeight="1" x14ac:dyDescent="0.25">
      <c r="A63" s="18"/>
      <c r="B63" s="56"/>
      <c r="C63" s="2"/>
      <c r="D63" s="19"/>
      <c r="E63" s="19"/>
      <c r="F63" s="21">
        <f t="shared" si="2"/>
        <v>0</v>
      </c>
      <c r="G63" s="21">
        <f t="shared" si="3"/>
        <v>0</v>
      </c>
      <c r="H63" s="21">
        <f t="shared" si="4"/>
        <v>0</v>
      </c>
      <c r="I63" s="5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1">
        <f t="shared" ref="AL63:AL95" si="8">SUM(I63:AK63)</f>
        <v>0</v>
      </c>
      <c r="AM63" s="21">
        <f t="shared" ref="AM63:AM95" si="9">+AL63-E63</f>
        <v>0</v>
      </c>
    </row>
    <row r="64" spans="1:39" x14ac:dyDescent="0.25">
      <c r="A64" s="18"/>
      <c r="B64" s="56"/>
      <c r="C64" s="2"/>
      <c r="D64" s="19"/>
      <c r="E64" s="19"/>
      <c r="F64" s="21">
        <f t="shared" si="2"/>
        <v>0</v>
      </c>
      <c r="G64" s="21">
        <f t="shared" si="3"/>
        <v>0</v>
      </c>
      <c r="H64" s="21">
        <f t="shared" si="4"/>
        <v>0</v>
      </c>
      <c r="I64" s="5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1">
        <f t="shared" si="8"/>
        <v>0</v>
      </c>
      <c r="AM64" s="21">
        <f t="shared" si="9"/>
        <v>0</v>
      </c>
    </row>
    <row r="65" spans="1:39" x14ac:dyDescent="0.25">
      <c r="A65" s="18"/>
      <c r="B65" s="56"/>
      <c r="C65" s="2"/>
      <c r="D65" s="19"/>
      <c r="E65" s="19"/>
      <c r="F65" s="21">
        <f t="shared" si="2"/>
        <v>0</v>
      </c>
      <c r="G65" s="21">
        <f t="shared" si="3"/>
        <v>0</v>
      </c>
      <c r="H65" s="21">
        <f t="shared" si="4"/>
        <v>0</v>
      </c>
      <c r="I65" s="5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1">
        <f t="shared" si="8"/>
        <v>0</v>
      </c>
      <c r="AM65" s="21">
        <f t="shared" si="9"/>
        <v>0</v>
      </c>
    </row>
    <row r="66" spans="1:39" x14ac:dyDescent="0.25">
      <c r="A66" s="18"/>
      <c r="B66" s="56"/>
      <c r="C66" s="2"/>
      <c r="D66" s="19"/>
      <c r="E66" s="19"/>
      <c r="F66" s="21">
        <f t="shared" si="2"/>
        <v>0</v>
      </c>
      <c r="G66" s="21">
        <f t="shared" si="3"/>
        <v>0</v>
      </c>
      <c r="H66" s="21">
        <f t="shared" si="4"/>
        <v>0</v>
      </c>
      <c r="I66" s="5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1">
        <f t="shared" si="8"/>
        <v>0</v>
      </c>
      <c r="AM66" s="21">
        <f t="shared" si="9"/>
        <v>0</v>
      </c>
    </row>
    <row r="67" spans="1:39" x14ac:dyDescent="0.25">
      <c r="A67" s="18"/>
      <c r="B67" s="56"/>
      <c r="C67" s="2"/>
      <c r="D67" s="19"/>
      <c r="E67" s="19"/>
      <c r="F67" s="21">
        <f t="shared" si="2"/>
        <v>0</v>
      </c>
      <c r="G67" s="21">
        <f t="shared" si="3"/>
        <v>0</v>
      </c>
      <c r="H67" s="21">
        <f t="shared" si="4"/>
        <v>0</v>
      </c>
      <c r="I67" s="5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21">
        <f t="shared" si="8"/>
        <v>0</v>
      </c>
      <c r="AM67" s="21">
        <f t="shared" si="9"/>
        <v>0</v>
      </c>
    </row>
    <row r="68" spans="1:39" x14ac:dyDescent="0.25">
      <c r="A68" s="18"/>
      <c r="B68" s="56"/>
      <c r="C68" s="2"/>
      <c r="D68" s="19"/>
      <c r="E68" s="19"/>
      <c r="F68" s="21">
        <f t="shared" si="2"/>
        <v>0</v>
      </c>
      <c r="G68" s="21">
        <f t="shared" si="3"/>
        <v>0</v>
      </c>
      <c r="H68" s="21">
        <f t="shared" si="4"/>
        <v>0</v>
      </c>
      <c r="I68" s="5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1">
        <f t="shared" si="8"/>
        <v>0</v>
      </c>
      <c r="AM68" s="21">
        <f t="shared" si="9"/>
        <v>0</v>
      </c>
    </row>
    <row r="69" spans="1:39" ht="14.25" customHeight="1" x14ac:dyDescent="0.25">
      <c r="A69" s="18"/>
      <c r="B69" s="56"/>
      <c r="C69" s="2"/>
      <c r="D69" s="19"/>
      <c r="E69" s="19"/>
      <c r="F69" s="21">
        <f t="shared" si="2"/>
        <v>0</v>
      </c>
      <c r="G69" s="21">
        <f t="shared" si="3"/>
        <v>0</v>
      </c>
      <c r="H69" s="21">
        <f t="shared" si="4"/>
        <v>0</v>
      </c>
      <c r="I69" s="5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1">
        <f t="shared" si="8"/>
        <v>0</v>
      </c>
      <c r="AM69" s="21">
        <f t="shared" si="9"/>
        <v>0</v>
      </c>
    </row>
    <row r="70" spans="1:39" ht="14.25" customHeight="1" x14ac:dyDescent="0.25">
      <c r="A70" s="18"/>
      <c r="B70" s="56"/>
      <c r="C70" s="2"/>
      <c r="D70" s="19"/>
      <c r="E70" s="19"/>
      <c r="F70" s="21">
        <f t="shared" si="2"/>
        <v>0</v>
      </c>
      <c r="G70" s="21">
        <f t="shared" si="3"/>
        <v>0</v>
      </c>
      <c r="H70" s="21">
        <f t="shared" si="4"/>
        <v>0</v>
      </c>
      <c r="I70" s="5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1">
        <f t="shared" si="8"/>
        <v>0</v>
      </c>
      <c r="AM70" s="21">
        <f t="shared" si="9"/>
        <v>0</v>
      </c>
    </row>
    <row r="71" spans="1:39" ht="14.25" customHeight="1" x14ac:dyDescent="0.25">
      <c r="A71" s="18"/>
      <c r="B71" s="56"/>
      <c r="C71" s="2"/>
      <c r="D71" s="19"/>
      <c r="E71" s="19"/>
      <c r="F71" s="21">
        <f t="shared" si="2"/>
        <v>0</v>
      </c>
      <c r="G71" s="21">
        <f t="shared" si="3"/>
        <v>0</v>
      </c>
      <c r="H71" s="21">
        <f t="shared" si="4"/>
        <v>0</v>
      </c>
      <c r="I71" s="5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1">
        <f t="shared" si="8"/>
        <v>0</v>
      </c>
      <c r="AM71" s="21">
        <f t="shared" si="9"/>
        <v>0</v>
      </c>
    </row>
    <row r="72" spans="1:39" ht="14.25" customHeight="1" x14ac:dyDescent="0.25">
      <c r="A72" s="18"/>
      <c r="B72" s="56"/>
      <c r="C72" s="2"/>
      <c r="D72" s="19"/>
      <c r="E72" s="19"/>
      <c r="F72" s="21">
        <f t="shared" si="2"/>
        <v>0</v>
      </c>
      <c r="G72" s="21">
        <f t="shared" si="3"/>
        <v>0</v>
      </c>
      <c r="H72" s="21">
        <f t="shared" si="4"/>
        <v>0</v>
      </c>
      <c r="I72" s="5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1">
        <f t="shared" si="8"/>
        <v>0</v>
      </c>
      <c r="AM72" s="21">
        <f t="shared" si="9"/>
        <v>0</v>
      </c>
    </row>
    <row r="73" spans="1:39" x14ac:dyDescent="0.25">
      <c r="A73" s="18"/>
      <c r="B73" s="56"/>
      <c r="C73" s="2"/>
      <c r="D73" s="19"/>
      <c r="E73" s="19"/>
      <c r="F73" s="21">
        <f t="shared" si="2"/>
        <v>0</v>
      </c>
      <c r="G73" s="21">
        <f t="shared" si="3"/>
        <v>0</v>
      </c>
      <c r="H73" s="21">
        <f t="shared" si="4"/>
        <v>0</v>
      </c>
      <c r="I73" s="5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1">
        <f t="shared" si="8"/>
        <v>0</v>
      </c>
      <c r="AM73" s="21">
        <f t="shared" si="9"/>
        <v>0</v>
      </c>
    </row>
    <row r="74" spans="1:39" x14ac:dyDescent="0.25">
      <c r="A74" s="18"/>
      <c r="B74" s="56"/>
      <c r="C74" s="2"/>
      <c r="D74" s="19"/>
      <c r="E74" s="19"/>
      <c r="F74" s="21">
        <f t="shared" si="2"/>
        <v>0</v>
      </c>
      <c r="G74" s="21">
        <f t="shared" si="3"/>
        <v>0</v>
      </c>
      <c r="H74" s="21">
        <f t="shared" si="4"/>
        <v>0</v>
      </c>
      <c r="I74" s="5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1">
        <f t="shared" si="8"/>
        <v>0</v>
      </c>
      <c r="AM74" s="21">
        <f t="shared" si="9"/>
        <v>0</v>
      </c>
    </row>
    <row r="75" spans="1:39" ht="14.25" customHeight="1" x14ac:dyDescent="0.25">
      <c r="A75" s="18"/>
      <c r="B75" s="56"/>
      <c r="C75" s="2"/>
      <c r="D75" s="19"/>
      <c r="E75" s="19"/>
      <c r="F75" s="21">
        <f t="shared" si="2"/>
        <v>0</v>
      </c>
      <c r="G75" s="21">
        <f t="shared" si="3"/>
        <v>0</v>
      </c>
      <c r="H75" s="21">
        <f t="shared" si="4"/>
        <v>0</v>
      </c>
      <c r="I75" s="5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1">
        <f t="shared" si="8"/>
        <v>0</v>
      </c>
      <c r="AM75" s="21">
        <f t="shared" si="9"/>
        <v>0</v>
      </c>
    </row>
    <row r="76" spans="1:39" x14ac:dyDescent="0.25">
      <c r="A76" s="18"/>
      <c r="B76" s="56"/>
      <c r="C76" s="2"/>
      <c r="D76" s="19"/>
      <c r="E76" s="19"/>
      <c r="F76" s="21">
        <f t="shared" si="2"/>
        <v>0</v>
      </c>
      <c r="G76" s="21">
        <f t="shared" si="3"/>
        <v>0</v>
      </c>
      <c r="H76" s="21">
        <f t="shared" si="4"/>
        <v>0</v>
      </c>
      <c r="I76" s="5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1">
        <f t="shared" si="8"/>
        <v>0</v>
      </c>
      <c r="AM76" s="21">
        <f t="shared" si="9"/>
        <v>0</v>
      </c>
    </row>
    <row r="77" spans="1:39" x14ac:dyDescent="0.25">
      <c r="A77" s="18"/>
      <c r="B77" s="56"/>
      <c r="C77" s="2"/>
      <c r="D77" s="19"/>
      <c r="E77" s="19"/>
      <c r="F77" s="21">
        <f t="shared" si="2"/>
        <v>0</v>
      </c>
      <c r="G77" s="21">
        <f t="shared" si="3"/>
        <v>0</v>
      </c>
      <c r="H77" s="21">
        <f t="shared" si="4"/>
        <v>0</v>
      </c>
      <c r="I77" s="5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1">
        <f t="shared" si="8"/>
        <v>0</v>
      </c>
      <c r="AM77" s="21">
        <f t="shared" si="9"/>
        <v>0</v>
      </c>
    </row>
    <row r="78" spans="1:39" x14ac:dyDescent="0.25">
      <c r="A78" s="18"/>
      <c r="B78" s="56"/>
      <c r="C78" s="2"/>
      <c r="D78" s="19"/>
      <c r="E78" s="19"/>
      <c r="F78" s="21">
        <f t="shared" si="2"/>
        <v>0</v>
      </c>
      <c r="G78" s="21">
        <f t="shared" si="3"/>
        <v>0</v>
      </c>
      <c r="H78" s="21">
        <f t="shared" si="4"/>
        <v>0</v>
      </c>
      <c r="I78" s="5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1">
        <f t="shared" si="8"/>
        <v>0</v>
      </c>
      <c r="AM78" s="21">
        <f t="shared" si="9"/>
        <v>0</v>
      </c>
    </row>
    <row r="79" spans="1:39" x14ac:dyDescent="0.25">
      <c r="A79" s="18"/>
      <c r="B79" s="56"/>
      <c r="C79" s="2"/>
      <c r="D79" s="19"/>
      <c r="E79" s="19"/>
      <c r="F79" s="21">
        <f t="shared" si="2"/>
        <v>0</v>
      </c>
      <c r="G79" s="21">
        <f t="shared" si="3"/>
        <v>0</v>
      </c>
      <c r="H79" s="21">
        <f t="shared" si="4"/>
        <v>0</v>
      </c>
      <c r="I79" s="5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1">
        <f t="shared" si="8"/>
        <v>0</v>
      </c>
      <c r="AM79" s="21">
        <f t="shared" si="9"/>
        <v>0</v>
      </c>
    </row>
    <row r="80" spans="1:39" x14ac:dyDescent="0.25">
      <c r="A80" s="18"/>
      <c r="B80" s="56"/>
      <c r="C80" s="2"/>
      <c r="D80" s="19"/>
      <c r="E80" s="19"/>
      <c r="F80" s="21">
        <f t="shared" si="2"/>
        <v>0</v>
      </c>
      <c r="G80" s="21">
        <f t="shared" si="3"/>
        <v>0</v>
      </c>
      <c r="H80" s="21">
        <f t="shared" si="4"/>
        <v>0</v>
      </c>
      <c r="I80" s="5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1">
        <f t="shared" si="8"/>
        <v>0</v>
      </c>
      <c r="AM80" s="21">
        <f t="shared" si="9"/>
        <v>0</v>
      </c>
    </row>
    <row r="81" spans="1:39" x14ac:dyDescent="0.25">
      <c r="A81" s="18"/>
      <c r="B81" s="56"/>
      <c r="C81" s="2"/>
      <c r="D81" s="19"/>
      <c r="E81" s="19"/>
      <c r="F81" s="21">
        <f t="shared" si="2"/>
        <v>0</v>
      </c>
      <c r="G81" s="21">
        <f t="shared" si="3"/>
        <v>0</v>
      </c>
      <c r="H81" s="21">
        <f t="shared" si="4"/>
        <v>0</v>
      </c>
      <c r="I81" s="5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21">
        <f t="shared" si="8"/>
        <v>0</v>
      </c>
      <c r="AM81" s="21">
        <f t="shared" si="9"/>
        <v>0</v>
      </c>
    </row>
    <row r="82" spans="1:39" x14ac:dyDescent="0.25">
      <c r="A82" s="18"/>
      <c r="B82" s="56"/>
      <c r="C82" s="2"/>
      <c r="D82" s="19"/>
      <c r="E82" s="19"/>
      <c r="F82" s="21">
        <f t="shared" si="2"/>
        <v>0</v>
      </c>
      <c r="G82" s="21">
        <f t="shared" si="3"/>
        <v>0</v>
      </c>
      <c r="H82" s="21">
        <f t="shared" si="4"/>
        <v>0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21">
        <f t="shared" si="8"/>
        <v>0</v>
      </c>
      <c r="AM82" s="21">
        <f t="shared" si="9"/>
        <v>0</v>
      </c>
    </row>
    <row r="83" spans="1:39" x14ac:dyDescent="0.25">
      <c r="A83" s="18"/>
      <c r="B83" s="56"/>
      <c r="C83" s="2"/>
      <c r="D83" s="19"/>
      <c r="E83" s="19"/>
      <c r="F83" s="21">
        <f t="shared" si="2"/>
        <v>0</v>
      </c>
      <c r="G83" s="21">
        <f t="shared" si="3"/>
        <v>0</v>
      </c>
      <c r="H83" s="21">
        <f t="shared" si="4"/>
        <v>0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1">
        <f t="shared" si="8"/>
        <v>0</v>
      </c>
      <c r="AM83" s="21">
        <f t="shared" si="9"/>
        <v>0</v>
      </c>
    </row>
    <row r="84" spans="1:39" x14ac:dyDescent="0.25">
      <c r="A84" s="18"/>
      <c r="B84" s="56"/>
      <c r="C84" s="2"/>
      <c r="D84" s="19"/>
      <c r="E84" s="19"/>
      <c r="F84" s="21">
        <f t="shared" si="2"/>
        <v>0</v>
      </c>
      <c r="G84" s="21">
        <f t="shared" si="3"/>
        <v>0</v>
      </c>
      <c r="H84" s="21">
        <f t="shared" si="4"/>
        <v>0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21">
        <f t="shared" si="8"/>
        <v>0</v>
      </c>
      <c r="AM84" s="21">
        <f t="shared" si="9"/>
        <v>0</v>
      </c>
    </row>
    <row r="85" spans="1:39" ht="14.25" customHeight="1" x14ac:dyDescent="0.25">
      <c r="A85" s="18"/>
      <c r="B85" s="56"/>
      <c r="C85" s="2"/>
      <c r="D85" s="19"/>
      <c r="E85" s="19"/>
      <c r="F85" s="21">
        <f t="shared" si="2"/>
        <v>0</v>
      </c>
      <c r="G85" s="21">
        <f t="shared" si="3"/>
        <v>0</v>
      </c>
      <c r="H85" s="21">
        <f t="shared" si="4"/>
        <v>0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1">
        <f t="shared" si="8"/>
        <v>0</v>
      </c>
      <c r="AM85" s="21">
        <f t="shared" si="9"/>
        <v>0</v>
      </c>
    </row>
    <row r="86" spans="1:39" ht="14.25" customHeight="1" x14ac:dyDescent="0.25">
      <c r="A86" s="18"/>
      <c r="B86" s="56"/>
      <c r="C86" s="2"/>
      <c r="D86" s="19"/>
      <c r="E86" s="19"/>
      <c r="F86" s="21">
        <f t="shared" si="2"/>
        <v>0</v>
      </c>
      <c r="G86" s="21">
        <f t="shared" si="3"/>
        <v>0</v>
      </c>
      <c r="H86" s="21">
        <f t="shared" si="4"/>
        <v>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21">
        <f t="shared" si="8"/>
        <v>0</v>
      </c>
      <c r="AM86" s="21">
        <f t="shared" si="9"/>
        <v>0</v>
      </c>
    </row>
    <row r="87" spans="1:39" ht="14.25" customHeight="1" x14ac:dyDescent="0.25">
      <c r="A87" s="18"/>
      <c r="B87" s="56"/>
      <c r="C87" s="2"/>
      <c r="D87" s="19"/>
      <c r="E87" s="19"/>
      <c r="F87" s="21">
        <f t="shared" si="2"/>
        <v>0</v>
      </c>
      <c r="G87" s="21">
        <f t="shared" si="3"/>
        <v>0</v>
      </c>
      <c r="H87" s="21">
        <f t="shared" si="4"/>
        <v>0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21">
        <f t="shared" si="8"/>
        <v>0</v>
      </c>
      <c r="AM87" s="21">
        <f t="shared" si="9"/>
        <v>0</v>
      </c>
    </row>
    <row r="88" spans="1:39" x14ac:dyDescent="0.25">
      <c r="A88" s="18"/>
      <c r="B88" s="56"/>
      <c r="C88" s="2"/>
      <c r="D88" s="19"/>
      <c r="E88" s="19"/>
      <c r="F88" s="21">
        <f t="shared" si="2"/>
        <v>0</v>
      </c>
      <c r="G88" s="21">
        <f t="shared" si="3"/>
        <v>0</v>
      </c>
      <c r="H88" s="21">
        <f t="shared" si="4"/>
        <v>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21">
        <f t="shared" si="8"/>
        <v>0</v>
      </c>
      <c r="AM88" s="21">
        <f t="shared" si="9"/>
        <v>0</v>
      </c>
    </row>
    <row r="89" spans="1:39" x14ac:dyDescent="0.25">
      <c r="A89" s="18"/>
      <c r="B89" s="56"/>
      <c r="C89" s="2"/>
      <c r="D89" s="19"/>
      <c r="E89" s="19"/>
      <c r="F89" s="21">
        <f t="shared" si="2"/>
        <v>0</v>
      </c>
      <c r="G89" s="21">
        <f t="shared" si="3"/>
        <v>0</v>
      </c>
      <c r="H89" s="21">
        <f t="shared" si="4"/>
        <v>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1">
        <f t="shared" si="8"/>
        <v>0</v>
      </c>
      <c r="AM89" s="21">
        <f t="shared" si="9"/>
        <v>0</v>
      </c>
    </row>
    <row r="90" spans="1:39" x14ac:dyDescent="0.25">
      <c r="A90" s="18"/>
      <c r="B90" s="56"/>
      <c r="C90" s="2"/>
      <c r="D90" s="19"/>
      <c r="E90" s="19"/>
      <c r="F90" s="21">
        <f t="shared" si="2"/>
        <v>0</v>
      </c>
      <c r="G90" s="21">
        <f t="shared" si="3"/>
        <v>0</v>
      </c>
      <c r="H90" s="21">
        <f t="shared" si="4"/>
        <v>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21">
        <f t="shared" si="8"/>
        <v>0</v>
      </c>
      <c r="AM90" s="21">
        <f t="shared" si="9"/>
        <v>0</v>
      </c>
    </row>
    <row r="91" spans="1:39" x14ac:dyDescent="0.25">
      <c r="A91" s="18"/>
      <c r="B91" s="56"/>
      <c r="C91" s="2"/>
      <c r="D91" s="19"/>
      <c r="E91" s="19"/>
      <c r="F91" s="21">
        <f t="shared" si="2"/>
        <v>0</v>
      </c>
      <c r="G91" s="21">
        <f t="shared" si="3"/>
        <v>0</v>
      </c>
      <c r="H91" s="21">
        <f t="shared" si="4"/>
        <v>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21">
        <f t="shared" si="8"/>
        <v>0</v>
      </c>
      <c r="AM91" s="21">
        <f t="shared" si="9"/>
        <v>0</v>
      </c>
    </row>
    <row r="92" spans="1:39" x14ac:dyDescent="0.25">
      <c r="A92" s="18"/>
      <c r="B92" s="56"/>
      <c r="C92" s="2"/>
      <c r="D92" s="19"/>
      <c r="E92" s="19"/>
      <c r="F92" s="21">
        <f t="shared" si="2"/>
        <v>0</v>
      </c>
      <c r="G92" s="21">
        <f t="shared" si="3"/>
        <v>0</v>
      </c>
      <c r="H92" s="21">
        <f t="shared" si="4"/>
        <v>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21">
        <f t="shared" si="8"/>
        <v>0</v>
      </c>
      <c r="AM92" s="21">
        <f t="shared" si="9"/>
        <v>0</v>
      </c>
    </row>
    <row r="93" spans="1:39" x14ac:dyDescent="0.25">
      <c r="A93" s="18"/>
      <c r="B93" s="56"/>
      <c r="C93" s="2"/>
      <c r="D93" s="19"/>
      <c r="E93" s="19"/>
      <c r="F93" s="21">
        <f t="shared" si="2"/>
        <v>0</v>
      </c>
      <c r="G93" s="21">
        <f t="shared" si="3"/>
        <v>0</v>
      </c>
      <c r="H93" s="21">
        <f t="shared" si="4"/>
        <v>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21">
        <f t="shared" si="8"/>
        <v>0</v>
      </c>
      <c r="AM93" s="21">
        <f t="shared" si="9"/>
        <v>0</v>
      </c>
    </row>
    <row r="94" spans="1:39" x14ac:dyDescent="0.25">
      <c r="A94" s="18"/>
      <c r="B94" s="56"/>
      <c r="C94" s="2"/>
      <c r="D94" s="19"/>
      <c r="E94" s="19"/>
      <c r="F94" s="21">
        <f t="shared" si="2"/>
        <v>0</v>
      </c>
      <c r="G94" s="21">
        <f t="shared" si="3"/>
        <v>0</v>
      </c>
      <c r="H94" s="21">
        <f t="shared" si="4"/>
        <v>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21">
        <f t="shared" si="8"/>
        <v>0</v>
      </c>
      <c r="AM94" s="21">
        <f t="shared" si="9"/>
        <v>0</v>
      </c>
    </row>
    <row r="95" spans="1:39" ht="15.75" thickBot="1" x14ac:dyDescent="0.3">
      <c r="A95" s="18"/>
      <c r="B95" s="56"/>
      <c r="C95" s="2"/>
      <c r="D95" s="19"/>
      <c r="E95" s="19"/>
      <c r="F95" s="21">
        <f t="shared" si="2"/>
        <v>0</v>
      </c>
      <c r="G95" s="21">
        <f t="shared" si="3"/>
        <v>0</v>
      </c>
      <c r="H95" s="21">
        <f t="shared" si="4"/>
        <v>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21">
        <f t="shared" si="8"/>
        <v>0</v>
      </c>
      <c r="AM95" s="21">
        <f t="shared" si="9"/>
        <v>0</v>
      </c>
    </row>
    <row r="96" spans="1:39" s="48" customFormat="1" ht="19.5" thickBot="1" x14ac:dyDescent="0.35">
      <c r="A96" s="67" t="s">
        <v>25</v>
      </c>
      <c r="B96" s="68"/>
      <c r="C96" s="69"/>
      <c r="D96" s="46">
        <f>SUM(D62:D95)</f>
        <v>0</v>
      </c>
      <c r="E96" s="46">
        <f t="shared" ref="E96:I96" si="10">SUM(E62:E95)</f>
        <v>0</v>
      </c>
      <c r="F96" s="46">
        <f t="shared" si="10"/>
        <v>0</v>
      </c>
      <c r="G96" s="46">
        <f t="shared" si="10"/>
        <v>0</v>
      </c>
      <c r="H96" s="46">
        <f t="shared" si="10"/>
        <v>0</v>
      </c>
      <c r="I96" s="46">
        <f t="shared" si="10"/>
        <v>0</v>
      </c>
      <c r="J96" s="46"/>
      <c r="K96" s="46"/>
      <c r="L96" s="46"/>
      <c r="M96" s="46">
        <f t="shared" ref="M96" si="11">SUM(M62:M95)</f>
        <v>0</v>
      </c>
      <c r="N96" s="46"/>
      <c r="O96" s="46"/>
      <c r="P96" s="46"/>
      <c r="Q96" s="46">
        <f t="shared" ref="Q96" si="12">SUM(Q62:Q95)</f>
        <v>0</v>
      </c>
      <c r="R96" s="46"/>
      <c r="S96" s="46"/>
      <c r="T96" s="46"/>
      <c r="U96" s="46">
        <f t="shared" ref="U96" si="13">SUM(U62:U95)</f>
        <v>0</v>
      </c>
      <c r="V96" s="46"/>
      <c r="W96" s="46"/>
      <c r="X96" s="46"/>
      <c r="Y96" s="46">
        <f t="shared" ref="Y96" si="14">SUM(Y62:Y95)</f>
        <v>0</v>
      </c>
      <c r="Z96" s="46"/>
      <c r="AA96" s="46"/>
      <c r="AB96" s="46"/>
      <c r="AC96" s="46">
        <f t="shared" ref="AC96" si="15">SUM(AC62:AC95)</f>
        <v>0</v>
      </c>
      <c r="AD96" s="46"/>
      <c r="AE96" s="46"/>
      <c r="AF96" s="46"/>
      <c r="AG96" s="46">
        <f t="shared" ref="AG96" si="16">SUM(AG62:AG95)</f>
        <v>0</v>
      </c>
      <c r="AH96" s="46"/>
      <c r="AI96" s="46"/>
      <c r="AJ96" s="46"/>
      <c r="AK96" s="46">
        <f t="shared" ref="AK96:AL96" si="17">SUM(AK62:AK95)</f>
        <v>0</v>
      </c>
      <c r="AL96" s="46">
        <f t="shared" si="17"/>
        <v>0</v>
      </c>
      <c r="AM96" s="47">
        <f>SUM(AM5:AM95)</f>
        <v>0</v>
      </c>
    </row>
    <row r="98" spans="5:37" x14ac:dyDescent="0.25">
      <c r="E98" s="20">
        <f>+E25+E61+E96</f>
        <v>0</v>
      </c>
      <c r="AK98" s="20">
        <f>+AK25+AK61+AK96</f>
        <v>0</v>
      </c>
    </row>
  </sheetData>
  <mergeCells count="5">
    <mergeCell ref="A1:AL1"/>
    <mergeCell ref="M3:AK3"/>
    <mergeCell ref="A25:C25"/>
    <mergeCell ref="A61:C61"/>
    <mergeCell ref="A96:C9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MACHOTE</vt:lpstr>
      <vt:lpstr>VENTAS 2-3-4-5JULIO26</vt:lpstr>
      <vt:lpstr>GASTOS 2-3-4-5JULIO26</vt:lpstr>
      <vt:lpstr>NOMINA 2-3-4-5JULIO26</vt:lpstr>
      <vt:lpstr>VENTAS 9-11JUL26</vt:lpstr>
      <vt:lpstr>GASTOS 9-11JUL26</vt:lpstr>
      <vt:lpstr>NOMINA 9-11JUL26</vt:lpstr>
      <vt:lpstr>VENTAS 16-18JUL26</vt:lpstr>
      <vt:lpstr>GASTOS 16-18JUL26</vt:lpstr>
      <vt:lpstr>NOMINA 16-18JUL26</vt:lpstr>
      <vt:lpstr>VENTAS 23-25JUL2026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Ramirez</dc:creator>
  <cp:lastModifiedBy>QUIRINO SOSA</cp:lastModifiedBy>
  <dcterms:created xsi:type="dcterms:W3CDTF">2026-07-21T02:59:12Z</dcterms:created>
  <dcterms:modified xsi:type="dcterms:W3CDTF">2026-07-24T03:05:37Z</dcterms:modified>
</cp:coreProperties>
</file>